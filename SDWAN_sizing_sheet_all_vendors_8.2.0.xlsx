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leenaik1/Downloads/"/>
    </mc:Choice>
  </mc:AlternateContent>
  <xr:revisionPtr revIDLastSave="0" documentId="13_ncr:1_{21F881B5-7182-1549-83B9-A8EF6DB02C20}" xr6:coauthVersionLast="47" xr6:coauthVersionMax="47" xr10:uidLastSave="{00000000-0000-0000-0000-000000000000}"/>
  <bookViews>
    <workbookView xWindow="0" yWindow="760" windowWidth="34560" windowHeight="19940" tabRatio="990" activeTab="8" xr2:uid="{00000000-000D-0000-FFFF-FFFF00000000}"/>
  </bookViews>
  <sheets>
    <sheet name="PAS sizing" sheetId="1" r:id="rId1"/>
    <sheet name="Viptela sizing sheet" sheetId="2" r:id="rId2"/>
    <sheet name="Versa sizing sheet" sheetId="3" r:id="rId3"/>
    <sheet name="Nuage sizing sheet" sheetId="4" r:id="rId4"/>
    <sheet name="Fortinet Sizing (SNMP)" sheetId="5" r:id="rId5"/>
    <sheet name="Cisco SD-WAN" sheetId="9" r:id="rId6"/>
    <sheet name="Aruba EdgeConnect Sizing " sheetId="6" r:id="rId7"/>
    <sheet name="Prisma SD-WAN" sheetId="11" r:id="rId8"/>
    <sheet name="VeloCloud" sheetId="12" r:id="rId9"/>
  </sheets>
  <definedNames>
    <definedName name="_xlnm._FilterDatabase" localSheetId="5" hidden="1">'Cisco SD-WAN'!$A$9:$F$9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" i="12" l="1"/>
  <c r="C18" i="12"/>
  <c r="E18" i="12" s="1"/>
  <c r="E17" i="12"/>
  <c r="C17" i="12"/>
  <c r="C16" i="12"/>
  <c r="E16" i="12" s="1"/>
  <c r="C15" i="12"/>
  <c r="E15" i="12" s="1"/>
  <c r="C14" i="12"/>
  <c r="E14" i="12" s="1"/>
  <c r="C13" i="12"/>
  <c r="E13" i="12" s="1"/>
  <c r="E12" i="12"/>
  <c r="C12" i="12"/>
  <c r="C11" i="12"/>
  <c r="E11" i="12" s="1"/>
  <c r="C10" i="12"/>
  <c r="E10" i="12" s="1"/>
  <c r="C9" i="12"/>
  <c r="E9" i="12" s="1"/>
  <c r="C8" i="12"/>
  <c r="E8" i="12" s="1"/>
  <c r="E7" i="12"/>
  <c r="C7" i="12"/>
  <c r="C6" i="12"/>
  <c r="E6" i="12" s="1"/>
  <c r="C5" i="12"/>
  <c r="E5" i="12" s="1"/>
  <c r="E20" i="12" l="1"/>
  <c r="C6" i="11" l="1"/>
  <c r="C5" i="5" l="1"/>
  <c r="C8" i="11"/>
  <c r="C7" i="11" l="1"/>
  <c r="C7" i="5"/>
  <c r="C7" i="9"/>
  <c r="C7" i="6"/>
  <c r="C5" i="11"/>
  <c r="C4" i="6"/>
  <c r="C4" i="9"/>
  <c r="C6" i="9"/>
  <c r="C5" i="9"/>
  <c r="C29" i="11"/>
  <c r="C5" i="6" l="1"/>
  <c r="C33" i="11"/>
  <c r="C6" i="6"/>
  <c r="D5" i="3"/>
  <c r="D20" i="3"/>
  <c r="C23" i="3"/>
  <c r="C108" i="9"/>
  <c r="C115" i="9"/>
  <c r="C133" i="9"/>
  <c r="C175" i="9"/>
  <c r="C174" i="9"/>
  <c r="C194" i="9"/>
  <c r="C193" i="9"/>
  <c r="C107" i="9"/>
  <c r="C132" i="9"/>
  <c r="C27" i="6"/>
  <c r="C22" i="6"/>
  <c r="C87" i="5"/>
  <c r="C35" i="5"/>
  <c r="C21" i="5"/>
  <c r="C6" i="5"/>
  <c r="C4" i="5"/>
  <c r="D24" i="4"/>
  <c r="E24" i="4" s="1"/>
  <c r="D23" i="4"/>
  <c r="E23" i="4" s="1"/>
  <c r="D21" i="4"/>
  <c r="E21" i="4" s="1"/>
  <c r="D20" i="4"/>
  <c r="E20" i="4" s="1"/>
  <c r="D19" i="4"/>
  <c r="E19" i="4" s="1"/>
  <c r="C12" i="4"/>
  <c r="C10" i="4"/>
  <c r="C11" i="4" s="1"/>
  <c r="C9" i="4"/>
  <c r="C8" i="4"/>
  <c r="C7" i="4"/>
  <c r="D19" i="3"/>
  <c r="H12" i="3" s="1"/>
  <c r="D16" i="3"/>
  <c r="H15" i="3"/>
  <c r="H9" i="3"/>
  <c r="C9" i="3"/>
  <c r="D7" i="3"/>
  <c r="E7" i="3" s="1"/>
  <c r="D6" i="3"/>
  <c r="E6" i="3" s="1"/>
  <c r="D9" i="3"/>
  <c r="D17" i="3" s="1"/>
  <c r="H17" i="3" s="1"/>
  <c r="C20" i="2"/>
  <c r="D20" i="2" s="1"/>
  <c r="E20" i="2" s="1"/>
  <c r="D18" i="2"/>
  <c r="F9" i="2"/>
  <c r="C10" i="2" s="1"/>
  <c r="C9" i="2"/>
  <c r="D19" i="2" s="1"/>
  <c r="E19" i="2" s="1"/>
  <c r="C14" i="4" l="1"/>
  <c r="D22" i="4"/>
  <c r="E22" i="4" s="1"/>
  <c r="E25" i="2"/>
  <c r="F25" i="2" s="1"/>
  <c r="D25" i="2"/>
  <c r="D21" i="2"/>
  <c r="E5" i="3"/>
  <c r="E9" i="3" s="1"/>
  <c r="D18" i="3" s="1"/>
  <c r="H16" i="3" s="1"/>
  <c r="D25" i="4"/>
  <c r="E25" i="4" s="1"/>
  <c r="C28" i="4" s="1"/>
  <c r="E18" i="2"/>
  <c r="E21" i="2" s="1"/>
  <c r="C28" i="2" s="1"/>
  <c r="C12" i="2"/>
  <c r="C11" i="3" l="1"/>
</calcChain>
</file>

<file path=xl/sharedStrings.xml><?xml version="1.0" encoding="utf-8"?>
<sst xmlns="http://schemas.openxmlformats.org/spreadsheetml/2006/main" count="571" uniqueCount="308">
  <si>
    <t>Appliance</t>
  </si>
  <si>
    <t>Maximum</t>
  </si>
  <si>
    <t>Indicators/Sec</t>
  </si>
  <si>
    <t>Object count</t>
  </si>
  <si>
    <t>PAS 5K, vPAS 5k</t>
  </si>
  <si>
    <t>5K</t>
  </si>
  <si>
    <t>PAS 10K, vPAS 10k</t>
  </si>
  <si>
    <t>10K</t>
  </si>
  <si>
    <t>PAS 20K, vPAS 20k</t>
  </si>
  <si>
    <t>20K</t>
  </si>
  <si>
    <t>PAS 40K</t>
  </si>
  <si>
    <t>40K</t>
  </si>
  <si>
    <t xml:space="preserve">PAS 60K </t>
  </si>
  <si>
    <t>50K</t>
  </si>
  <si>
    <t>vPAS100k</t>
  </si>
  <si>
    <t>100K</t>
  </si>
  <si>
    <t>PAS 200K</t>
  </si>
  <si>
    <t>200K</t>
  </si>
  <si>
    <t>PAS 300K</t>
  </si>
  <si>
    <t>300K</t>
  </si>
  <si>
    <t>INPUT – YELLOW FIELD</t>
  </si>
  <si>
    <t>TOTAL INDICATORS PER SECOND – GREEN FIELD</t>
  </si>
  <si>
    <t>Devices / Objects</t>
  </si>
  <si>
    <t>Total numbers</t>
  </si>
  <si>
    <t>vManage</t>
  </si>
  <si>
    <t>Number of interfaces per edge router</t>
  </si>
  <si>
    <t>vBond</t>
  </si>
  <si>
    <t>Number of WAN interfaces per vEdge</t>
  </si>
  <si>
    <t>vSmart</t>
  </si>
  <si>
    <t>Number of queues per WAN interface</t>
  </si>
  <si>
    <t>vEdge / edge routers</t>
  </si>
  <si>
    <t>Total Interfaces</t>
  </si>
  <si>
    <t>Total WAN Interfaces:</t>
  </si>
  <si>
    <t>SLA Classes Used by Application Policy</t>
  </si>
  <si>
    <t>Unknown</t>
  </si>
  <si>
    <t>Queues</t>
  </si>
  <si>
    <t>BFD Sessions</t>
  </si>
  <si>
    <t>Enable Tunnel SLA Monitoring(0 or 1 or 3)</t>
  </si>
  <si>
    <t>Total Objects</t>
  </si>
  <si>
    <t>BFD app-route polling interval</t>
  </si>
  <si>
    <t>minutes</t>
  </si>
  <si>
    <t xml:space="preserve">Object Type </t>
  </si>
  <si>
    <t>Indicators</t>
  </si>
  <si>
    <t>Totals</t>
  </si>
  <si>
    <t>Data point frequency</t>
  </si>
  <si>
    <t>vManage collection interval</t>
  </si>
  <si>
    <t>Device Health</t>
  </si>
  <si>
    <t>vManage collection interval Cisco issue</t>
  </si>
  <si>
    <t>Interface</t>
  </si>
  <si>
    <t>Total Indicators</t>
  </si>
  <si>
    <t>Total object count and also IPS count need to be lower than PAS object and IDS capacity</t>
  </si>
  <si>
    <t>Queue Object uses REST API</t>
  </si>
  <si>
    <t>Indicator Per Second</t>
  </si>
  <si>
    <t>Queue</t>
  </si>
  <si>
    <t>Total Indicators per seconds</t>
  </si>
  <si>
    <t>Interfaces</t>
  </si>
  <si>
    <t>Controller</t>
  </si>
  <si>
    <t>Number of interfaces per controller</t>
  </si>
  <si>
    <t>Branch</t>
  </si>
  <si>
    <t>Number of interfaces per branch</t>
  </si>
  <si>
    <t>Hub</t>
  </si>
  <si>
    <t>Number of interfaces per hub</t>
  </si>
  <si>
    <t>Number of queues per interface</t>
  </si>
  <si>
    <t xml:space="preserve">Total </t>
  </si>
  <si>
    <t>Tunnels</t>
  </si>
  <si>
    <t>Tunnel syslog</t>
  </si>
  <si>
    <t>seconds</t>
  </si>
  <si>
    <t>Indicators per second</t>
  </si>
  <si>
    <t>(Sla + Mon)</t>
  </si>
  <si>
    <t>Interface Queue</t>
  </si>
  <si>
    <t>queue</t>
  </si>
  <si>
    <t>NSGateways</t>
  </si>
  <si>
    <t>Number of nsports per nsgateway</t>
  </si>
  <si>
    <t>Total device health</t>
  </si>
  <si>
    <t>Number of vlans per nsport</t>
  </si>
  <si>
    <t>Total aggregated interface</t>
  </si>
  <si>
    <t>Total LAN interface</t>
  </si>
  <si>
    <t>Number of domains</t>
  </si>
  <si>
    <t>Total WAN Interfaces</t>
  </si>
  <si>
    <t>Number of subnets per domain</t>
  </si>
  <si>
    <t>Number of vports per subnet</t>
  </si>
  <si>
    <t>Probes (SevOne tunnel objects)</t>
  </si>
  <si>
    <t xml:space="preserve">Number of NPM groups </t>
  </si>
  <si>
    <t xml:space="preserve">SelfMon Objects </t>
  </si>
  <si>
    <t>Data point inteval in seconds</t>
  </si>
  <si>
    <t>Collector polling interval</t>
  </si>
  <si>
    <t xml:space="preserve"> Nuage tunnels</t>
  </si>
  <si>
    <t>Totals per polling interval</t>
  </si>
  <si>
    <t>LAN/Aggregated interface</t>
  </si>
  <si>
    <t>SelfMon</t>
  </si>
  <si>
    <t>Total Devices</t>
  </si>
  <si>
    <t>Total Indicators Per Second</t>
  </si>
  <si>
    <t xml:space="preserve">FortiAnalyzer Objects </t>
  </si>
  <si>
    <t>Environment</t>
  </si>
  <si>
    <t>Count</t>
  </si>
  <si>
    <t>CPU</t>
  </si>
  <si>
    <t>FortiAnalyzers</t>
  </si>
  <si>
    <t>Memory</t>
  </si>
  <si>
    <t>FortiManagers</t>
  </si>
  <si>
    <t>ICMP</t>
  </si>
  <si>
    <t>FortiGates</t>
  </si>
  <si>
    <t>Device IP</t>
  </si>
  <si>
    <r>
      <t xml:space="preserve">Tunnels, </t>
    </r>
    <r>
      <rPr>
        <b/>
        <sz val="12"/>
        <color theme="1"/>
        <rFont val="Calibri"/>
        <family val="2"/>
        <scheme val="minor"/>
      </rPr>
      <t>across all devices</t>
    </r>
  </si>
  <si>
    <t>IP Group</t>
  </si>
  <si>
    <t>Device</t>
  </si>
  <si>
    <t>Poll Interval</t>
  </si>
  <si>
    <t>SNMP Availability</t>
  </si>
  <si>
    <t>FortiAnalyzer</t>
  </si>
  <si>
    <t>System</t>
  </si>
  <si>
    <t>FortiManager</t>
  </si>
  <si>
    <t>System Host</t>
  </si>
  <si>
    <t>FortiGate</t>
  </si>
  <si>
    <t>TCP Group</t>
  </si>
  <si>
    <t>UDP Group</t>
  </si>
  <si>
    <t>FortiGate Objects</t>
  </si>
  <si>
    <t>Total</t>
  </si>
  <si>
    <t>CPUs</t>
  </si>
  <si>
    <t xml:space="preserve">FortiManager Objects </t>
  </si>
  <si>
    <t>FortiAnalyzer Objects</t>
  </si>
  <si>
    <t>FortiManager Objects</t>
  </si>
  <si>
    <t xml:space="preserve">FortiGate Objects </t>
  </si>
  <si>
    <t>AC-WTP Sessions</t>
  </si>
  <si>
    <t>Advanced Memory</t>
  </si>
  <si>
    <t>Advanced Sessions</t>
  </si>
  <si>
    <t>Disk</t>
  </si>
  <si>
    <t>Firewall Virtual Domain</t>
  </si>
  <si>
    <t>Interface Extension</t>
  </si>
  <si>
    <t>Processor Module</t>
  </si>
  <si>
    <t>Firewall User</t>
  </si>
  <si>
    <t>HA Group</t>
  </si>
  <si>
    <t>Global Hardware Sensors</t>
  </si>
  <si>
    <t>High Availability</t>
  </si>
  <si>
    <t>IPv6 Sessions</t>
  </si>
  <si>
    <t>Global License Contracts</t>
  </si>
  <si>
    <t>Processors</t>
  </si>
  <si>
    <t>Global Processors</t>
  </si>
  <si>
    <t>FTP Applications</t>
  </si>
  <si>
    <t>HTTP Applications</t>
  </si>
  <si>
    <t>IM Conn. Applications</t>
  </si>
  <si>
    <t>IM Req. Applications</t>
  </si>
  <si>
    <t>IMAP Applications</t>
  </si>
  <si>
    <t>IPS-IDS</t>
  </si>
  <si>
    <t>NNTP Applications</t>
  </si>
  <si>
    <t>P2P Applications</t>
  </si>
  <si>
    <t>POP Applications</t>
  </si>
  <si>
    <t>Antivirus Applications</t>
  </si>
  <si>
    <t>Global VPN</t>
  </si>
  <si>
    <t>Dialup VPN</t>
  </si>
  <si>
    <t>Global NPU</t>
  </si>
  <si>
    <t>Hardware Sensor</t>
  </si>
  <si>
    <t>Link Monitor</t>
  </si>
  <si>
    <t>NPU</t>
  </si>
  <si>
    <t>Proxy Filter</t>
  </si>
  <si>
    <t>Proxy Scan</t>
  </si>
  <si>
    <t>Aruba EdgeConnect Objects</t>
  </si>
  <si>
    <t>Active Alarms</t>
  </si>
  <si>
    <t>Ping Data</t>
  </si>
  <si>
    <t xml:space="preserve">Edges </t>
  </si>
  <si>
    <t>Edges</t>
  </si>
  <si>
    <t>Orchestrator</t>
  </si>
  <si>
    <t>Aruba EdgeConnect Orchestrator Objects</t>
  </si>
  <si>
    <t>Website Data</t>
  </si>
  <si>
    <t>Global BFD/Global BFD (Viptela)</t>
  </si>
  <si>
    <t>BFD TLOC/BFD TLOC (Viptela)</t>
  </si>
  <si>
    <t>Global C-Flowd/Global C-Flowd (Viptela)</t>
  </si>
  <si>
    <t>Chassis/Chassis (Viptela)</t>
  </si>
  <si>
    <t>Control/Control (Viptela)</t>
  </si>
  <si>
    <t>Control Connections/Control Connections (Viptela)</t>
  </si>
  <si>
    <t>Interface/Interface (Viptela)</t>
  </si>
  <si>
    <t>Hardware Environment/Hardware Environment (Viptela)</t>
  </si>
  <si>
    <t>Memory/Memory (Viptela)</t>
  </si>
  <si>
    <t>NAT Interface/NAT Interface (Viptela)</t>
  </si>
  <si>
    <t>Global OMP/Global OMP (Viptela)</t>
  </si>
  <si>
    <t>Routing/Routing (Viptela)</t>
  </si>
  <si>
    <t>Global System/Global System (Viptela)</t>
  </si>
  <si>
    <t>System Diff/System Diff (Viptela)</t>
  </si>
  <si>
    <t>System Diff ARP/System Diff ARP (Viptela)</t>
  </si>
  <si>
    <t>System Diff BFD/System Diff BFD (Viptela)</t>
  </si>
  <si>
    <t>System Diff Dot 1x/System Diff Dot 1x (Viptela)</t>
  </si>
  <si>
    <t>System Diff Encryption/System Diff Encryption (Viptela)</t>
  </si>
  <si>
    <t>System Diff Fragment/System Diff Fragment (Viptela)</t>
  </si>
  <si>
    <t>System Diff GRE/System Diff GRE (Viptela)</t>
  </si>
  <si>
    <t>System Diff ICMP/System Diff ICMP (Viptela)</t>
  </si>
  <si>
    <t>System Diff IP Forwarding/System Diff IP Forwarding (Viptela)</t>
  </si>
  <si>
    <t>System Diff IPsec/System Diff IPsec (Viptela)</t>
  </si>
  <si>
    <t>System Diff Multicast/System Diff Multicast (Viptela)</t>
  </si>
  <si>
    <t>System Diff NAT/System Diff NAT (Viptela)</t>
  </si>
  <si>
    <t>System Diff Pre-IPsec/System Diff Pre-IPsec (Viptela)</t>
  </si>
  <si>
    <t>System Diff Replay/System Diff Replay (Viptela)</t>
  </si>
  <si>
    <t>System Diff Window/System Diff Window (Viptela)</t>
  </si>
  <si>
    <t>Global TCP Optimized/Global TCP Optimized (Viptela)</t>
  </si>
  <si>
    <t>Policer/Policer (Viptela)</t>
  </si>
  <si>
    <t>Tunnels/Tunnels (Viptela)</t>
  </si>
  <si>
    <t>Global Zone Based Firewall/Global Zone Based Firewall (Viptela)</t>
  </si>
  <si>
    <t>Total </t>
  </si>
  <si>
    <t>Cisco SD-WAN Orchestrator Objects</t>
  </si>
  <si>
    <t>Cisco SD-WAN vManage Objects</t>
  </si>
  <si>
    <t>Control Summary/Control Summary (Viptela)</t>
  </si>
  <si>
    <t xml:space="preserve">	
CPU/CPU (Viptela)</t>
  </si>
  <si>
    <t>Disk/Disk (Viptela)</t>
  </si>
  <si>
    <t xml:space="preserve">	
Interface/Interface (Viptela)</t>
  </si>
  <si>
    <t xml:space="preserve">	
Interface</t>
  </si>
  <si>
    <t xml:space="preserve">	
SNMP Availability</t>
  </si>
  <si>
    <t>Cisco SD-WAN vBond Objects</t>
  </si>
  <si>
    <t>Global DPI/Global DPI (Viptela)</t>
  </si>
  <si>
    <t>Global PPPoE/Global PPPoE (Viptela)</t>
  </si>
  <si>
    <t>Cisco SD-WAN vSmart Objects</t>
  </si>
  <si>
    <t>CPU/CPU (Viptela)</t>
  </si>
  <si>
    <t xml:space="preserve">	
Ping Data</t>
  </si>
  <si>
    <t xml:space="preserve">	
Memory/Memory (Viptela)</t>
  </si>
  <si>
    <t>OMP Peers/OMP Peers (Viptela)</t>
  </si>
  <si>
    <t xml:space="preserve">	
System</t>
  </si>
  <si>
    <t xml:space="preserve">	
Chassis/Chassis (Viptela)</t>
  </si>
  <si>
    <t>vBond Cisco SD-WAN Objects</t>
  </si>
  <si>
    <t>vManage Cisco SD-WAN Objects</t>
  </si>
  <si>
    <t>vSmart Cisco SD-WAN objects</t>
  </si>
  <si>
    <t>VRF/VRF (Cisco IOS XE)</t>
  </si>
  <si>
    <t>Flash/Flash (Cisco IOS XE)</t>
  </si>
  <si>
    <t>Process/Process (Cisco IOS XE)</t>
  </si>
  <si>
    <t>CPU/CPU (Cisco IOS XE)</t>
  </si>
  <si>
    <t>CPU/CPU (Cisco IOS)</t>
  </si>
  <si>
    <t>Device Buffers/Device Buffers (Cisco IOS)</t>
  </si>
  <si>
    <t>DSP Global Transcode Sessions/DSP Global Transcode Sessions (Cisco IOS XE)</t>
  </si>
  <si>
    <t>Gateway Call/Gateway Call (Cisco IOS XE)</t>
  </si>
  <si>
    <t>Interface Extension/Interface Extension (Cisco IOS XE)</t>
  </si>
  <si>
    <t>QoS/QoS (Cisco IOS)</t>
  </si>
  <si>
    <t>QoS/QoS (Cisco IOS XE)</t>
  </si>
  <si>
    <t>Global CDP/Global CDP (Cisco IOS XE)</t>
  </si>
  <si>
    <t>IPSEC/IPSEC (Cisco IOS XE)</t>
  </si>
  <si>
    <t>VTP Per Management Domain/VTP Per Management Domain (Cisco IOS XE)</t>
  </si>
  <si>
    <t>CPU Memory/CPU Memory (Cisco IOS XE)</t>
  </si>
  <si>
    <t>Memory Buffer Pool/Memory Buffer Pool (Cisco IOS XE)</t>
  </si>
  <si>
    <t>MPLS Traffic Engineering/MPLS Traffic Engineering (Cisco IOS XE)</t>
  </si>
  <si>
    <t>Multicast Routing/Multicast Routing (Cisco IOS)</t>
  </si>
  <si>
    <t>NAT BIND Sessions/NAT BIND Sessions (Cisco IOS XE)</t>
  </si>
  <si>
    <t>NAT Protocol/NAT Protocol (Cisco IOS XE)</t>
  </si>
  <si>
    <t>Extended Process/Extended Process (Cisco IOS XE)</t>
  </si>
  <si>
    <t>Processor Modules (Cisco IOS XE)</t>
  </si>
  <si>
    <t>QFP Memory Resource (Cisco IOS XE)</t>
  </si>
  <si>
    <t>QFP Utilization (Cisco IOS XE)</t>
  </si>
  <si>
    <t>Redundancy Framework (Cisco IOS XE)</t>
  </si>
  <si>
    <t>Memory/Memory (Cisco IOS XE)</t>
  </si>
  <si>
    <t>Global SD-WAN BFD/Global SD-WAN BFD (Cisco IOS XE)</t>
  </si>
  <si>
    <t>SD-WAN BFD TLOC/SD-WAN BFD TLOC (Cisco IOS XE)</t>
  </si>
  <si>
    <t>Global SD-WAN CPU/Global SD-WAN CPU (Cisco IOS XE)</t>
  </si>
  <si>
    <t>Global SD-WAN Disk/Global SD-WAN Disk (Cisco IOS XE)</t>
  </si>
  <si>
    <t>Global SD-WAN Memory/Global SD-WAN Memory (Cisco IOS XE)</t>
  </si>
  <si>
    <t>Global Smart License/Global Smart License (Cisco IOS XE)</t>
  </si>
  <si>
    <t>Subscriber Aggregations/Subscriber Aggregations (Cisco IOS XE)</t>
  </si>
  <si>
    <t>DSP Total Sessions/DSP Total Sessions (Cisco IOS XE)</t>
  </si>
  <si>
    <t>Voice Active Calls/Voice Active Calls (Cisco IOS)</t>
  </si>
  <si>
    <t>VRF Notifications/VRF Notifications (Cisco IOS XE)</t>
  </si>
  <si>
    <t>VRF Interface/VRF Interface (Cisco IOS XE)</t>
  </si>
  <si>
    <t>SD-WAN vSmart SLA Class Policy/SD-WAN vSmart SLA Class Policy (Cisco IOS XE)</t>
  </si>
  <si>
    <t>VTP VLAN/VTP VLAN (Cisco IOS XE)</t>
  </si>
  <si>
    <t>SD-WAN SLA Application Route (Cisco IOS XE)</t>
  </si>
  <si>
    <t>BFD Sessions (Viptela)</t>
  </si>
  <si>
    <t>C-Flowd/C-Flowd (Viptela)</t>
  </si>
  <si>
    <t>Ping data</t>
  </si>
  <si>
    <t>QoS Scheduler/QoS Scheduler (Viptela)</t>
  </si>
  <si>
    <t>Cisco SD-WAN Objects for cEdge/vEdge device</t>
  </si>
  <si>
    <t>Total Object count</t>
  </si>
  <si>
    <t>Total Object Count</t>
  </si>
  <si>
    <t>Global VLANs/Global VLANs (Cisco IOS XE)</t>
  </si>
  <si>
    <t>DPI Flows Tunnels In (Viptela)</t>
  </si>
  <si>
    <t>DPI Flows Tunnels Out (Viptela)</t>
  </si>
  <si>
    <t xml:space="preserve">Hardware Environment (Viptela) </t>
  </si>
  <si>
    <t xml:space="preserve">Route Interval (Viptela) </t>
  </si>
  <si>
    <t>TLOC</t>
  </si>
  <si>
    <t>Prisma ION Objects</t>
  </si>
  <si>
    <t>Prisman ION Objects</t>
  </si>
  <si>
    <t>Global Environment (CloudGenix)</t>
  </si>
  <si>
    <t>Global Interface Extension (CloudGenix)</t>
  </si>
  <si>
    <t>Tunnel (CloudGenix)</t>
  </si>
  <si>
    <t>Prisma ION Orchestrator Objects</t>
  </si>
  <si>
    <t xml:space="preserve">Ping Data </t>
  </si>
  <si>
    <t>IONs</t>
  </si>
  <si>
    <t>Global/Global (Silver Peak)</t>
  </si>
  <si>
    <t>Circuit</t>
  </si>
  <si>
    <t>Tunnels, across all device</t>
  </si>
  <si>
    <t>Velocloud Objects</t>
  </si>
  <si>
    <t>objects</t>
  </si>
  <si>
    <t>indicators</t>
  </si>
  <si>
    <t>total</t>
  </si>
  <si>
    <t>VCO Edges</t>
  </si>
  <si>
    <t>Path</t>
  </si>
  <si>
    <t>hubs</t>
  </si>
  <si>
    <t>Gateways</t>
  </si>
  <si>
    <t>cpu</t>
  </si>
  <si>
    <t>Interface per Edge</t>
  </si>
  <si>
    <t>links</t>
  </si>
  <si>
    <t>Links per edge</t>
  </si>
  <si>
    <t>Global HA</t>
  </si>
  <si>
    <t>Disk Per edge</t>
  </si>
  <si>
    <t>Global CPU</t>
  </si>
  <si>
    <t>cpu per edge</t>
  </si>
  <si>
    <t>Global Memory</t>
  </si>
  <si>
    <t>ping</t>
  </si>
  <si>
    <t>poll Interval</t>
  </si>
  <si>
    <t>mins</t>
  </si>
  <si>
    <t>availability</t>
  </si>
  <si>
    <t>system</t>
  </si>
  <si>
    <t>memory</t>
  </si>
  <si>
    <t>(VCO EDGE * Links Per Edge) ( gateways + hubs )</t>
  </si>
  <si>
    <t>QoE Before</t>
  </si>
  <si>
    <t>( VCO EDGE * Links Per Edge )</t>
  </si>
  <si>
    <t>QoE After</t>
  </si>
  <si>
    <t>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</si>
</sst>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25" x14ac:knownFonts="1">
    <font>
      <sz val="12"/>
      <color rgb="FF000000"/>
      <name val="Arial"/>
      <family val="2"/>
      <charset val="1"/>
    </font>
    <font>
      <b/>
      <sz val="18"/>
      <color rgb="FFFFFFFF"/>
      <name val="Arial"/>
      <family val="2"/>
      <charset val="1"/>
    </font>
    <font>
      <sz val="16"/>
      <color rgb="FF000000"/>
      <name val="Arial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Helvetica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333333"/>
      <name val="Tahoma"/>
      <family val="2"/>
    </font>
    <font>
      <b/>
      <sz val="12"/>
      <color rgb="FF000000"/>
      <name val="Calibri (Body)"/>
    </font>
    <font>
      <sz val="11"/>
      <color theme="1"/>
      <name val="Tahoma"/>
      <family val="2"/>
    </font>
    <font>
      <sz val="11"/>
      <color rgb="FF000000"/>
      <name val="Tahoma"/>
      <family val="2"/>
    </font>
    <font>
      <b/>
      <sz val="11"/>
      <color rgb="FF333333"/>
      <name val="Tahoma"/>
      <family val="2"/>
    </font>
    <font>
      <b/>
      <sz val="11"/>
      <color theme="1"/>
      <name val="Tahoma"/>
      <family val="2"/>
    </font>
    <font>
      <sz val="12"/>
      <color theme="1"/>
      <name val="Arial"/>
      <family val="2"/>
      <charset val="1"/>
    </font>
    <font>
      <sz val="11"/>
      <color rgb="FFFF0000"/>
      <name val="Tahoma"/>
      <family val="2"/>
    </font>
    <font>
      <sz val="12"/>
      <color rgb="FFFF000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4375A7"/>
        <bgColor rgb="FF3366FF"/>
      </patternFill>
    </fill>
    <fill>
      <patternFill patternType="solid">
        <fgColor rgb="FFCFD6E1"/>
        <bgColor rgb="FFE9ECF1"/>
      </patternFill>
    </fill>
    <fill>
      <patternFill patternType="solid">
        <fgColor rgb="FFE9ECF1"/>
        <bgColor rgb="FFFFFFFF"/>
      </patternFill>
    </fill>
    <fill>
      <patternFill patternType="solid">
        <fgColor rgb="FFB2B2B2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33FF99"/>
        <bgColor rgb="FF00FFFF"/>
      </patternFill>
    </fill>
    <fill>
      <patternFill patternType="solid">
        <fgColor rgb="FFB7B7B7"/>
        <bgColor rgb="FFB2B2B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rgb="FFB7B7B7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3" fontId="2" fillId="3" borderId="5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3" fillId="5" borderId="0" xfId="0" applyFont="1" applyFill="1"/>
    <xf numFmtId="0" fontId="4" fillId="0" borderId="0" xfId="0" applyFont="1"/>
    <xf numFmtId="3" fontId="4" fillId="6" borderId="0" xfId="0" applyNumberFormat="1" applyFont="1" applyFill="1"/>
    <xf numFmtId="0" fontId="4" fillId="6" borderId="0" xfId="0" applyFont="1" applyFill="1"/>
    <xf numFmtId="3" fontId="4" fillId="0" borderId="0" xfId="0" applyNumberFormat="1" applyFont="1"/>
    <xf numFmtId="3" fontId="4" fillId="0" borderId="0" xfId="0" applyNumberFormat="1" applyFont="1" applyAlignment="1">
      <alignment horizontal="left"/>
    </xf>
    <xf numFmtId="3" fontId="3" fillId="0" borderId="0" xfId="0" applyNumberFormat="1" applyFont="1"/>
    <xf numFmtId="0" fontId="5" fillId="0" borderId="0" xfId="0" applyFont="1"/>
    <xf numFmtId="0" fontId="6" fillId="0" borderId="0" xfId="0" applyFont="1"/>
    <xf numFmtId="0" fontId="3" fillId="7" borderId="0" xfId="0" applyFont="1" applyFill="1"/>
    <xf numFmtId="3" fontId="3" fillId="7" borderId="0" xfId="0" applyNumberFormat="1" applyFont="1" applyFill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8" borderId="0" xfId="0" applyFont="1" applyFill="1" applyAlignment="1">
      <alignment horizontal="center"/>
    </xf>
    <xf numFmtId="3" fontId="4" fillId="6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3" fontId="3" fillId="0" borderId="0" xfId="0" applyNumberFormat="1" applyFont="1" applyAlignment="1">
      <alignment horizontal="center"/>
    </xf>
    <xf numFmtId="0" fontId="0" fillId="6" borderId="0" xfId="0" applyFill="1"/>
    <xf numFmtId="0" fontId="3" fillId="0" borderId="6" xfId="0" applyFont="1" applyBorder="1"/>
    <xf numFmtId="0" fontId="4" fillId="0" borderId="6" xfId="0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" fontId="4" fillId="6" borderId="0" xfId="0" applyNumberFormat="1" applyFont="1" applyFill="1" applyAlignment="1">
      <alignment horizontal="right"/>
    </xf>
    <xf numFmtId="4" fontId="3" fillId="7" borderId="0" xfId="0" applyNumberFormat="1" applyFont="1" applyFill="1"/>
    <xf numFmtId="0" fontId="9" fillId="5" borderId="0" xfId="0" applyFont="1" applyFill="1"/>
    <xf numFmtId="0" fontId="0" fillId="9" borderId="0" xfId="0" applyFill="1"/>
    <xf numFmtId="0" fontId="10" fillId="6" borderId="0" xfId="0" applyFont="1" applyFill="1"/>
    <xf numFmtId="0" fontId="8" fillId="0" borderId="0" xfId="0" applyFont="1"/>
    <xf numFmtId="0" fontId="11" fillId="0" borderId="0" xfId="0" applyFont="1"/>
    <xf numFmtId="3" fontId="10" fillId="0" borderId="0" xfId="0" applyNumberFormat="1" applyFont="1"/>
    <xf numFmtId="0" fontId="10" fillId="0" borderId="0" xfId="0" applyFont="1"/>
    <xf numFmtId="0" fontId="12" fillId="0" borderId="0" xfId="0" applyFont="1"/>
    <xf numFmtId="0" fontId="3" fillId="5" borderId="0" xfId="0" applyFont="1" applyFill="1" applyAlignment="1">
      <alignment horizontal="left"/>
    </xf>
    <xf numFmtId="0" fontId="13" fillId="0" borderId="0" xfId="0" applyFont="1"/>
    <xf numFmtId="0" fontId="15" fillId="0" borderId="0" xfId="0" applyFont="1"/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3" fillId="10" borderId="0" xfId="0" applyFont="1" applyFill="1"/>
    <xf numFmtId="0" fontId="17" fillId="11" borderId="0" xfId="0" applyFont="1" applyFill="1"/>
    <xf numFmtId="0" fontId="12" fillId="11" borderId="0" xfId="0" applyFont="1" applyFill="1"/>
    <xf numFmtId="0" fontId="16" fillId="0" borderId="0" xfId="0" applyFont="1" applyAlignment="1">
      <alignment wrapText="1"/>
    </xf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/>
    <xf numFmtId="0" fontId="12" fillId="0" borderId="0" xfId="0" applyFont="1" applyAlignment="1">
      <alignment horizontal="center" vertical="top"/>
    </xf>
    <xf numFmtId="0" fontId="21" fillId="0" borderId="0" xfId="0" applyFont="1"/>
    <xf numFmtId="0" fontId="23" fillId="0" borderId="0" xfId="0" applyFont="1"/>
    <xf numFmtId="0" fontId="3" fillId="0" borderId="0" xfId="0" applyFont="1" applyAlignment="1">
      <alignment horizontal="center"/>
    </xf>
    <xf numFmtId="3" fontId="3" fillId="7" borderId="0" xfId="0" applyNumberFormat="1" applyFont="1" applyFill="1" applyAlignment="1">
      <alignment horizontal="center"/>
    </xf>
    <xf numFmtId="4" fontId="3" fillId="7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9" fillId="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22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0" fillId="0" borderId="6" xfId="0" applyBorder="1"/>
    <xf numFmtId="0" fontId="24" fillId="9" borderId="6" xfId="0" applyFont="1" applyFill="1" applyBorder="1"/>
    <xf numFmtId="0" fontId="0" fillId="9" borderId="6" xfId="0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E9ECF1"/>
      <rgbColor rgb="FF660066"/>
      <rgbColor rgb="FFFF8080"/>
      <rgbColor rgb="FF0066CC"/>
      <rgbColor rgb="FFCFD6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FF99"/>
      <rgbColor rgb="FF99CC00"/>
      <rgbColor rgb="FFFFCC00"/>
      <rgbColor rgb="FFFF9900"/>
      <rgbColor rgb="FFFF6600"/>
      <rgbColor rgb="FF4375A7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15"/>
  <sheetViews>
    <sheetView zoomScale="80" zoomScaleNormal="80" workbookViewId="0">
      <selection activeCell="E12" sqref="E12"/>
    </sheetView>
  </sheetViews>
  <sheetFormatPr baseColWidth="10" defaultColWidth="8.7109375" defaultRowHeight="16" x14ac:dyDescent="0.2"/>
  <cols>
    <col min="1" max="2" width="13"/>
    <col min="3" max="3" width="50.28515625"/>
    <col min="4" max="4" width="52.42578125"/>
    <col min="5" max="5" width="43.42578125"/>
    <col min="6" max="26" width="13"/>
  </cols>
  <sheetData>
    <row r="1" spans="3:5" ht="15.75" customHeight="1" x14ac:dyDescent="0.2"/>
    <row r="2" spans="3:5" ht="15.75" customHeight="1" x14ac:dyDescent="0.2"/>
    <row r="3" spans="3:5" ht="37.5" customHeight="1" x14ac:dyDescent="0.2">
      <c r="C3" s="76" t="s">
        <v>0</v>
      </c>
      <c r="D3" s="1" t="s">
        <v>1</v>
      </c>
      <c r="E3" s="1" t="s">
        <v>1</v>
      </c>
    </row>
    <row r="4" spans="3:5" ht="30" customHeight="1" x14ac:dyDescent="0.2">
      <c r="C4" s="76"/>
      <c r="D4" s="2" t="s">
        <v>2</v>
      </c>
      <c r="E4" s="2" t="s">
        <v>3</v>
      </c>
    </row>
    <row r="5" spans="3:5" ht="39.75" customHeight="1" x14ac:dyDescent="0.2">
      <c r="C5" s="3" t="s">
        <v>4</v>
      </c>
      <c r="D5" s="4">
        <v>333</v>
      </c>
      <c r="E5" s="4" t="s">
        <v>5</v>
      </c>
    </row>
    <row r="6" spans="3:5" ht="36.75" customHeight="1" x14ac:dyDescent="0.2">
      <c r="C6" s="5" t="s">
        <v>6</v>
      </c>
      <c r="D6" s="6">
        <v>667</v>
      </c>
      <c r="E6" s="6" t="s">
        <v>7</v>
      </c>
    </row>
    <row r="7" spans="3:5" ht="45" customHeight="1" x14ac:dyDescent="0.2">
      <c r="C7" s="7" t="s">
        <v>8</v>
      </c>
      <c r="D7" s="8">
        <v>1333</v>
      </c>
      <c r="E7" s="8" t="s">
        <v>9</v>
      </c>
    </row>
    <row r="8" spans="3:5" ht="15.75" customHeight="1" x14ac:dyDescent="0.2">
      <c r="C8" s="5" t="s">
        <v>10</v>
      </c>
      <c r="D8" s="9">
        <v>2666</v>
      </c>
      <c r="E8" s="9" t="s">
        <v>11</v>
      </c>
    </row>
    <row r="9" spans="3:5" ht="15.75" customHeight="1" x14ac:dyDescent="0.2">
      <c r="C9" s="7" t="s">
        <v>12</v>
      </c>
      <c r="D9" s="8">
        <v>4000</v>
      </c>
      <c r="E9" s="8" t="s">
        <v>13</v>
      </c>
    </row>
    <row r="10" spans="3:5" ht="15.75" customHeight="1" x14ac:dyDescent="0.2">
      <c r="C10" s="5" t="s">
        <v>14</v>
      </c>
      <c r="D10" s="9">
        <v>6667</v>
      </c>
      <c r="E10" s="9" t="s">
        <v>15</v>
      </c>
    </row>
    <row r="11" spans="3:5" ht="15.75" customHeight="1" x14ac:dyDescent="0.2">
      <c r="C11" s="7" t="s">
        <v>16</v>
      </c>
      <c r="D11" s="8">
        <v>13333</v>
      </c>
      <c r="E11" s="8" t="s">
        <v>17</v>
      </c>
    </row>
    <row r="12" spans="3:5" ht="15.75" customHeight="1" x14ac:dyDescent="0.2">
      <c r="C12" s="5" t="s">
        <v>18</v>
      </c>
      <c r="D12" s="9">
        <v>20000</v>
      </c>
      <c r="E12" s="9" t="s">
        <v>19</v>
      </c>
    </row>
    <row r="15" spans="3:5" ht="15.75" customHeight="1" x14ac:dyDescent="0.2"/>
  </sheetData>
  <mergeCells count="1">
    <mergeCell ref="C3:C4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8"/>
  <sheetViews>
    <sheetView zoomScale="79" zoomScaleNormal="80" workbookViewId="0">
      <selection activeCell="B8" sqref="B8"/>
    </sheetView>
  </sheetViews>
  <sheetFormatPr baseColWidth="10" defaultColWidth="8.7109375" defaultRowHeight="16" x14ac:dyDescent="0.2"/>
  <cols>
    <col min="1" max="1" width="13"/>
    <col min="2" max="2" width="32.42578125"/>
    <col min="3" max="3" width="17.140625"/>
    <col min="4" max="4" width="13"/>
    <col min="5" max="5" width="23.140625"/>
    <col min="6" max="6" width="12.140625"/>
    <col min="7" max="7" width="41.5703125"/>
    <col min="8" max="26" width="13"/>
  </cols>
  <sheetData>
    <row r="1" spans="2:9" ht="15" customHeight="1" x14ac:dyDescent="0.2">
      <c r="B1" s="10" t="s">
        <v>20</v>
      </c>
      <c r="C1" s="10"/>
    </row>
    <row r="2" spans="2:9" ht="17.5" customHeight="1" x14ac:dyDescent="0.2">
      <c r="B2" s="10" t="s">
        <v>21</v>
      </c>
      <c r="C2" s="10"/>
    </row>
    <row r="3" spans="2:9" ht="12.75" customHeight="1" x14ac:dyDescent="0.2">
      <c r="B3" s="10"/>
      <c r="C3" s="10"/>
    </row>
    <row r="4" spans="2:9" ht="15.75" customHeight="1" x14ac:dyDescent="0.2">
      <c r="B4" s="11" t="s">
        <v>22</v>
      </c>
      <c r="C4" s="11" t="s">
        <v>23</v>
      </c>
    </row>
    <row r="5" spans="2:9" ht="15.75" customHeight="1" x14ac:dyDescent="0.2">
      <c r="B5" s="12" t="s">
        <v>24</v>
      </c>
      <c r="C5" s="13">
        <v>1</v>
      </c>
      <c r="G5" s="12" t="s">
        <v>25</v>
      </c>
      <c r="H5" s="14">
        <v>6</v>
      </c>
    </row>
    <row r="6" spans="2:9" ht="15.75" customHeight="1" x14ac:dyDescent="0.2">
      <c r="B6" s="12" t="s">
        <v>26</v>
      </c>
      <c r="C6" s="13">
        <v>1</v>
      </c>
      <c r="G6" s="12" t="s">
        <v>27</v>
      </c>
      <c r="H6" s="14">
        <v>6</v>
      </c>
    </row>
    <row r="7" spans="2:9" ht="15.75" customHeight="1" x14ac:dyDescent="0.2">
      <c r="B7" s="12" t="s">
        <v>28</v>
      </c>
      <c r="C7" s="13">
        <v>1</v>
      </c>
      <c r="G7" s="12" t="s">
        <v>29</v>
      </c>
      <c r="H7" s="14">
        <v>8</v>
      </c>
    </row>
    <row r="8" spans="2:9" ht="15.75" customHeight="1" x14ac:dyDescent="0.2">
      <c r="B8" s="12" t="s">
        <v>30</v>
      </c>
      <c r="C8" s="13">
        <v>150</v>
      </c>
    </row>
    <row r="9" spans="2:9" ht="15.75" customHeight="1" x14ac:dyDescent="0.2">
      <c r="B9" s="12" t="s">
        <v>31</v>
      </c>
      <c r="C9" s="15">
        <f>C8*H5</f>
        <v>900</v>
      </c>
      <c r="E9" s="12" t="s">
        <v>32</v>
      </c>
      <c r="F9" s="16">
        <f>C8*H6</f>
        <v>900</v>
      </c>
      <c r="G9" s="12" t="s">
        <v>33</v>
      </c>
      <c r="H9" s="14">
        <v>10</v>
      </c>
      <c r="I9" s="12" t="s">
        <v>34</v>
      </c>
    </row>
    <row r="10" spans="2:9" ht="15.75" customHeight="1" x14ac:dyDescent="0.2">
      <c r="B10" s="12" t="s">
        <v>35</v>
      </c>
      <c r="C10" s="15">
        <f>F9*H7</f>
        <v>7200</v>
      </c>
    </row>
    <row r="11" spans="2:9" ht="15.75" customHeight="1" x14ac:dyDescent="0.2">
      <c r="B11" s="12" t="s">
        <v>36</v>
      </c>
      <c r="C11" s="13">
        <v>150000</v>
      </c>
      <c r="G11" t="s">
        <v>37</v>
      </c>
      <c r="H11" s="14">
        <v>1</v>
      </c>
    </row>
    <row r="12" spans="2:9" ht="15.75" customHeight="1" x14ac:dyDescent="0.2">
      <c r="B12" s="10" t="s">
        <v>38</v>
      </c>
      <c r="C12" s="17">
        <f>SUM(C5:C11)</f>
        <v>158253</v>
      </c>
    </row>
    <row r="15" spans="2:9" ht="15.75" customHeight="1" x14ac:dyDescent="0.2"/>
    <row r="16" spans="2:9" ht="15.75" customHeight="1" x14ac:dyDescent="0.2">
      <c r="G16" s="12" t="s">
        <v>39</v>
      </c>
      <c r="H16" s="14">
        <v>10</v>
      </c>
      <c r="I16" s="12" t="s">
        <v>40</v>
      </c>
    </row>
    <row r="17" spans="2:9" ht="15.75" customHeight="1" x14ac:dyDescent="0.2">
      <c r="B17" s="11" t="s">
        <v>41</v>
      </c>
      <c r="C17" s="11" t="s">
        <v>42</v>
      </c>
      <c r="D17" s="11" t="s">
        <v>43</v>
      </c>
      <c r="E17" s="11" t="s">
        <v>44</v>
      </c>
      <c r="G17" s="12" t="s">
        <v>45</v>
      </c>
      <c r="H17" s="14">
        <v>20</v>
      </c>
      <c r="I17" s="12" t="s">
        <v>40</v>
      </c>
    </row>
    <row r="18" spans="2:9" ht="15.75" customHeight="1" x14ac:dyDescent="0.2">
      <c r="B18" s="12" t="s">
        <v>46</v>
      </c>
      <c r="C18" s="12">
        <v>5</v>
      </c>
      <c r="D18" s="15">
        <f>(C5+C6+C7+C8)*C18</f>
        <v>765</v>
      </c>
      <c r="E18" s="12">
        <f>D18*($H$18/$H$16)</f>
        <v>1530</v>
      </c>
      <c r="G18" s="12" t="s">
        <v>47</v>
      </c>
      <c r="H18" s="12">
        <v>20</v>
      </c>
      <c r="I18" s="12" t="s">
        <v>40</v>
      </c>
    </row>
    <row r="19" spans="2:9" ht="15.75" customHeight="1" x14ac:dyDescent="0.2">
      <c r="B19" s="12" t="s">
        <v>48</v>
      </c>
      <c r="C19" s="12">
        <v>23</v>
      </c>
      <c r="D19" s="15">
        <f>C9*C19</f>
        <v>20700</v>
      </c>
      <c r="E19" s="12">
        <f>D19*($H$18/$H$16)</f>
        <v>41400</v>
      </c>
    </row>
    <row r="20" spans="2:9" ht="15.75" customHeight="1" x14ac:dyDescent="0.2">
      <c r="B20" s="12" t="s">
        <v>36</v>
      </c>
      <c r="C20" s="12">
        <f>15 + (H9*H11)</f>
        <v>25</v>
      </c>
      <c r="D20" s="15">
        <f>C11*C20</f>
        <v>3750000</v>
      </c>
      <c r="E20" s="12">
        <f>D20*($H$18/$H$16)</f>
        <v>7500000</v>
      </c>
    </row>
    <row r="21" spans="2:9" ht="15.75" customHeight="1" x14ac:dyDescent="0.2">
      <c r="B21" s="10" t="s">
        <v>49</v>
      </c>
      <c r="D21" s="17">
        <f>SUM(D17:D20)</f>
        <v>3771465</v>
      </c>
      <c r="E21" s="17">
        <f>SUM(E17:E20)</f>
        <v>7542930</v>
      </c>
      <c r="G21" s="18" t="s">
        <v>50</v>
      </c>
    </row>
    <row r="24" spans="2:9" ht="15.75" customHeight="1" x14ac:dyDescent="0.2">
      <c r="B24" s="19" t="s">
        <v>51</v>
      </c>
      <c r="F24" s="10" t="s">
        <v>52</v>
      </c>
    </row>
    <row r="25" spans="2:9" ht="15.75" customHeight="1" x14ac:dyDescent="0.2">
      <c r="B25" t="s">
        <v>53</v>
      </c>
      <c r="C25">
        <v>6</v>
      </c>
      <c r="D25">
        <f>C10*C25</f>
        <v>43200</v>
      </c>
      <c r="E25">
        <f>C10*C25</f>
        <v>43200</v>
      </c>
      <c r="F25">
        <f>E25/(10*60)</f>
        <v>72</v>
      </c>
    </row>
    <row r="28" spans="2:9" x14ac:dyDescent="0.2">
      <c r="B28" s="20" t="s">
        <v>54</v>
      </c>
      <c r="C28" s="21">
        <f>(E21/(H18*60))+F25</f>
        <v>6357.7749999999996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zoomScale="127" zoomScaleNormal="127" workbookViewId="0">
      <selection activeCell="C23" sqref="C23"/>
    </sheetView>
  </sheetViews>
  <sheetFormatPr baseColWidth="10" defaultColWidth="8.7109375" defaultRowHeight="16" x14ac:dyDescent="0.2"/>
  <cols>
    <col min="1" max="1" width="10.85546875"/>
    <col min="2" max="2" width="34.28515625"/>
    <col min="3" max="3" width="21.5703125"/>
    <col min="4" max="4" width="12.140625"/>
    <col min="5" max="5" width="16.140625"/>
    <col min="6" max="6" width="38.42578125"/>
    <col min="7" max="7" width="32.7109375"/>
    <col min="8" max="8" width="19.5703125"/>
    <col min="9" max="1025" width="9.42578125"/>
  </cols>
  <sheetData>
    <row r="1" spans="1:8" ht="17.5" customHeight="1" x14ac:dyDescent="0.2">
      <c r="A1" s="22"/>
      <c r="B1" s="10" t="s">
        <v>20</v>
      </c>
    </row>
    <row r="2" spans="1:8" ht="18" customHeight="1" x14ac:dyDescent="0.2">
      <c r="A2" s="22"/>
      <c r="B2" s="10" t="s">
        <v>21</v>
      </c>
    </row>
    <row r="3" spans="1:8" ht="20.25" customHeight="1" x14ac:dyDescent="0.2">
      <c r="A3" s="23"/>
    </row>
    <row r="4" spans="1:8" ht="15.75" customHeight="1" x14ac:dyDescent="0.2">
      <c r="B4" s="24" t="s">
        <v>22</v>
      </c>
      <c r="C4" s="24" t="s">
        <v>23</v>
      </c>
      <c r="D4" s="24" t="s">
        <v>55</v>
      </c>
      <c r="E4" s="24" t="s">
        <v>35</v>
      </c>
    </row>
    <row r="5" spans="1:8" ht="15.75" customHeight="1" x14ac:dyDescent="0.2">
      <c r="B5" s="12" t="s">
        <v>56</v>
      </c>
      <c r="C5" s="25">
        <v>1</v>
      </c>
      <c r="D5" s="26">
        <f>C5*G5</f>
        <v>8</v>
      </c>
      <c r="E5" s="26">
        <f>D5*G8</f>
        <v>32</v>
      </c>
      <c r="F5" s="12" t="s">
        <v>57</v>
      </c>
      <c r="G5" s="14">
        <v>8</v>
      </c>
      <c r="H5" s="12"/>
    </row>
    <row r="6" spans="1:8" ht="15.75" customHeight="1" x14ac:dyDescent="0.2">
      <c r="B6" s="12" t="s">
        <v>58</v>
      </c>
      <c r="C6" s="25">
        <v>100</v>
      </c>
      <c r="D6" s="26">
        <f>C6*G6</f>
        <v>600</v>
      </c>
      <c r="E6" s="26">
        <f>D6*G8</f>
        <v>2400</v>
      </c>
      <c r="F6" s="12" t="s">
        <v>59</v>
      </c>
      <c r="G6" s="14">
        <v>6</v>
      </c>
      <c r="H6" s="12"/>
    </row>
    <row r="7" spans="1:8" ht="15.75" customHeight="1" x14ac:dyDescent="0.2">
      <c r="B7" s="12" t="s">
        <v>60</v>
      </c>
      <c r="C7" s="25">
        <v>100</v>
      </c>
      <c r="D7" s="26">
        <f>C7*G7</f>
        <v>600</v>
      </c>
      <c r="E7" s="26">
        <f>D7*G8</f>
        <v>2400</v>
      </c>
      <c r="F7" s="12" t="s">
        <v>61</v>
      </c>
      <c r="G7" s="14">
        <v>6</v>
      </c>
      <c r="H7" s="12"/>
    </row>
    <row r="8" spans="1:8" ht="15.75" customHeight="1" x14ac:dyDescent="0.2">
      <c r="B8" s="12"/>
      <c r="C8" s="26"/>
      <c r="D8" s="26"/>
      <c r="E8" s="26"/>
      <c r="F8" s="12" t="s">
        <v>62</v>
      </c>
      <c r="G8" s="12">
        <v>4</v>
      </c>
    </row>
    <row r="9" spans="1:8" ht="15.75" customHeight="1" x14ac:dyDescent="0.2">
      <c r="B9" s="12" t="s">
        <v>63</v>
      </c>
      <c r="C9" s="27">
        <f>SUM(C5:C7)</f>
        <v>201</v>
      </c>
      <c r="D9" s="27">
        <f>SUM(D5:D7)</f>
        <v>1208</v>
      </c>
      <c r="E9" s="26">
        <f>SUM(E5:E7)</f>
        <v>4832</v>
      </c>
      <c r="F9" t="s">
        <v>37</v>
      </c>
      <c r="G9" s="14">
        <v>1</v>
      </c>
      <c r="H9" s="28" t="str">
        <f>IF(G9=1,"1","0")</f>
        <v>1</v>
      </c>
    </row>
    <row r="10" spans="1:8" ht="15.75" customHeight="1" x14ac:dyDescent="0.2">
      <c r="B10" s="12" t="s">
        <v>64</v>
      </c>
      <c r="C10" s="25">
        <v>150000</v>
      </c>
      <c r="D10" s="26"/>
      <c r="E10" s="26"/>
    </row>
    <row r="11" spans="1:8" ht="15.75" customHeight="1" x14ac:dyDescent="0.2">
      <c r="B11" s="10" t="s">
        <v>38</v>
      </c>
      <c r="C11" s="29">
        <f>C9+D9+E9+C10</f>
        <v>156241</v>
      </c>
      <c r="D11" s="26"/>
      <c r="E11" s="26"/>
      <c r="F11" t="s">
        <v>65</v>
      </c>
      <c r="G11" t="s">
        <v>66</v>
      </c>
      <c r="H11" t="s">
        <v>67</v>
      </c>
    </row>
    <row r="12" spans="1:8" x14ac:dyDescent="0.2">
      <c r="F12" t="s">
        <v>68</v>
      </c>
      <c r="G12" s="30">
        <v>300</v>
      </c>
      <c r="H12">
        <f>D19/G12</f>
        <v>7500</v>
      </c>
    </row>
    <row r="15" spans="1:8" ht="15.75" customHeight="1" x14ac:dyDescent="0.2">
      <c r="B15" s="24" t="s">
        <v>41</v>
      </c>
      <c r="C15" s="24" t="s">
        <v>42</v>
      </c>
      <c r="D15" s="24" t="s">
        <v>43</v>
      </c>
      <c r="F15" t="s">
        <v>46</v>
      </c>
      <c r="G15" s="30">
        <v>300</v>
      </c>
      <c r="H15">
        <f>D16/G15</f>
        <v>2.0099999999999998</v>
      </c>
    </row>
    <row r="16" spans="1:8" ht="15.75" customHeight="1" x14ac:dyDescent="0.2">
      <c r="B16" s="12" t="s">
        <v>46</v>
      </c>
      <c r="C16" s="26">
        <v>3</v>
      </c>
      <c r="D16" s="27">
        <f>C9*C16</f>
        <v>603</v>
      </c>
      <c r="F16" t="s">
        <v>69</v>
      </c>
      <c r="G16" s="30">
        <v>30</v>
      </c>
      <c r="H16">
        <f>D18/G16</f>
        <v>322.13333333333333</v>
      </c>
    </row>
    <row r="17" spans="2:8" ht="15.75" customHeight="1" x14ac:dyDescent="0.2">
      <c r="B17" s="12" t="s">
        <v>48</v>
      </c>
      <c r="C17" s="26">
        <v>21</v>
      </c>
      <c r="D17" s="27">
        <f>D9*C17</f>
        <v>25368</v>
      </c>
      <c r="F17" t="s">
        <v>48</v>
      </c>
      <c r="G17" s="30">
        <v>900</v>
      </c>
      <c r="H17">
        <f>D17/G17</f>
        <v>28.186666666666667</v>
      </c>
    </row>
    <row r="18" spans="2:8" ht="15.75" customHeight="1" x14ac:dyDescent="0.2">
      <c r="B18" s="12" t="s">
        <v>70</v>
      </c>
      <c r="C18" s="26">
        <v>2</v>
      </c>
      <c r="D18" s="27">
        <f>E9*C18</f>
        <v>9664</v>
      </c>
    </row>
    <row r="19" spans="2:8" ht="15.75" customHeight="1" x14ac:dyDescent="0.2">
      <c r="B19" s="12" t="s">
        <v>64</v>
      </c>
      <c r="C19" s="26">
        <v>15</v>
      </c>
      <c r="D19" s="27">
        <f>C10*C19</f>
        <v>2250000</v>
      </c>
    </row>
    <row r="20" spans="2:8" ht="15.75" customHeight="1" x14ac:dyDescent="0.2">
      <c r="B20" s="31" t="s">
        <v>49</v>
      </c>
      <c r="C20" s="32"/>
      <c r="D20" s="33">
        <f>SUM(D16:D19)</f>
        <v>2285635</v>
      </c>
      <c r="F20" s="34"/>
    </row>
    <row r="21" spans="2:8" ht="44.25" customHeight="1" x14ac:dyDescent="0.2"/>
    <row r="22" spans="2:8" ht="15.75" customHeight="1" x14ac:dyDescent="0.2"/>
    <row r="23" spans="2:8" ht="15.75" customHeight="1" x14ac:dyDescent="0.2">
      <c r="B23" s="20" t="s">
        <v>54</v>
      </c>
      <c r="C23" s="21">
        <f>SUM(H12:H17)</f>
        <v>7852.33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Roman,Regular"&amp;A</oddHeader>
    <oddFooter>&amp;C&amp;"Times New Roman,Regular"Page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zoomScale="80" zoomScaleNormal="80" workbookViewId="0">
      <selection activeCell="C16" sqref="C16"/>
    </sheetView>
  </sheetViews>
  <sheetFormatPr baseColWidth="10" defaultColWidth="8.7109375" defaultRowHeight="16" x14ac:dyDescent="0.2"/>
  <cols>
    <col min="1" max="1" width="12.28515625"/>
    <col min="2" max="2" width="33.28515625"/>
    <col min="3" max="3" width="16.140625"/>
    <col min="4" max="4" width="43.85546875"/>
    <col min="5" max="5" width="28.42578125"/>
    <col min="6" max="6" width="8.42578125"/>
    <col min="7" max="7" width="54.28515625"/>
    <col min="8" max="8" width="12.28515625"/>
    <col min="9" max="9" width="40"/>
    <col min="10" max="26" width="12.28515625"/>
    <col min="27" max="1025" width="9.42578125"/>
  </cols>
  <sheetData>
    <row r="1" spans="1:10" ht="18.25" customHeight="1" x14ac:dyDescent="0.2">
      <c r="A1" s="12"/>
      <c r="B1" s="10" t="s">
        <v>20</v>
      </c>
      <c r="C1" s="10"/>
      <c r="D1" s="12"/>
      <c r="E1" s="12"/>
      <c r="F1" s="12"/>
      <c r="G1" s="12"/>
      <c r="H1" s="12"/>
      <c r="I1" s="12"/>
      <c r="J1" s="12"/>
    </row>
    <row r="2" spans="1:10" ht="20" customHeight="1" x14ac:dyDescent="0.2">
      <c r="A2" s="12"/>
      <c r="B2" s="10" t="s">
        <v>21</v>
      </c>
      <c r="C2" s="10"/>
      <c r="D2" s="12"/>
      <c r="E2" s="12"/>
      <c r="F2" s="12"/>
      <c r="G2" s="12"/>
      <c r="H2" s="12"/>
      <c r="I2" s="12"/>
      <c r="J2" s="12"/>
    </row>
    <row r="3" spans="1:10" ht="12.75" customHeight="1" x14ac:dyDescent="0.2">
      <c r="A3" s="12"/>
      <c r="B3" s="10"/>
      <c r="C3" s="10"/>
      <c r="D3" s="12"/>
      <c r="E3" s="12"/>
      <c r="F3" s="12"/>
      <c r="G3" s="12"/>
      <c r="H3" s="12"/>
      <c r="I3" s="12"/>
      <c r="J3" s="12"/>
    </row>
    <row r="4" spans="1:10" ht="12.75" customHeight="1" x14ac:dyDescent="0.2">
      <c r="A4" s="12"/>
      <c r="B4" s="10"/>
      <c r="C4" s="10"/>
      <c r="D4" s="12"/>
      <c r="E4" s="12"/>
      <c r="F4" s="12"/>
      <c r="G4" s="12"/>
      <c r="H4" s="12"/>
      <c r="I4" s="12"/>
      <c r="J4" s="12"/>
    </row>
    <row r="5" spans="1:10" ht="15.75" customHeight="1" x14ac:dyDescent="0.2">
      <c r="A5" s="12"/>
      <c r="B5" s="11" t="s">
        <v>22</v>
      </c>
      <c r="C5" s="11" t="s">
        <v>23</v>
      </c>
      <c r="D5" s="12"/>
      <c r="E5" s="12"/>
      <c r="F5" s="12"/>
      <c r="G5" s="12"/>
      <c r="H5" s="12"/>
      <c r="I5" s="12"/>
      <c r="J5" s="12"/>
    </row>
    <row r="6" spans="1:10" ht="15.75" customHeight="1" x14ac:dyDescent="0.2">
      <c r="A6" s="12"/>
      <c r="B6" s="12" t="s">
        <v>71</v>
      </c>
      <c r="C6" s="13">
        <v>342</v>
      </c>
      <c r="D6" s="35" t="s">
        <v>72</v>
      </c>
      <c r="E6" s="14">
        <v>2</v>
      </c>
      <c r="F6" s="12"/>
      <c r="I6" s="12"/>
      <c r="J6" s="12"/>
    </row>
    <row r="7" spans="1:10" ht="15.75" customHeight="1" x14ac:dyDescent="0.2">
      <c r="A7" s="12"/>
      <c r="B7" s="12" t="s">
        <v>73</v>
      </c>
      <c r="C7" s="15">
        <f>(C6)</f>
        <v>342</v>
      </c>
      <c r="D7" s="35" t="s">
        <v>74</v>
      </c>
      <c r="E7" s="14">
        <v>2</v>
      </c>
      <c r="F7" s="12"/>
      <c r="I7" s="12"/>
      <c r="J7" s="12"/>
    </row>
    <row r="8" spans="1:10" ht="15.75" customHeight="1" x14ac:dyDescent="0.2">
      <c r="A8" s="12"/>
      <c r="B8" s="12" t="s">
        <v>75</v>
      </c>
      <c r="C8" s="15">
        <f>(E9*E9 + E9)</f>
        <v>2</v>
      </c>
      <c r="D8" s="35"/>
      <c r="E8" s="12"/>
      <c r="F8" s="12"/>
      <c r="I8" s="12"/>
      <c r="J8" s="12"/>
    </row>
    <row r="9" spans="1:10" ht="15.75" customHeight="1" x14ac:dyDescent="0.2">
      <c r="A9" s="12"/>
      <c r="B9" s="12" t="s">
        <v>76</v>
      </c>
      <c r="C9" s="15">
        <f>(E11*E10*E9)</f>
        <v>4</v>
      </c>
      <c r="D9" s="35" t="s">
        <v>77</v>
      </c>
      <c r="E9" s="14">
        <v>1</v>
      </c>
      <c r="F9" s="12"/>
      <c r="I9" s="12"/>
      <c r="J9" s="12"/>
    </row>
    <row r="10" spans="1:10" ht="15.75" customHeight="1" x14ac:dyDescent="0.2">
      <c r="A10" s="12"/>
      <c r="B10" s="12" t="s">
        <v>78</v>
      </c>
      <c r="C10" s="15">
        <f>(C6*E6*E7)</f>
        <v>1368</v>
      </c>
      <c r="D10" s="35" t="s">
        <v>79</v>
      </c>
      <c r="E10" s="14">
        <v>2</v>
      </c>
      <c r="F10" s="15"/>
      <c r="I10" s="12"/>
      <c r="J10" s="12"/>
    </row>
    <row r="11" spans="1:10" ht="15.75" customHeight="1" x14ac:dyDescent="0.2">
      <c r="A11" s="12"/>
      <c r="B11" s="12" t="s">
        <v>35</v>
      </c>
      <c r="C11" s="15">
        <f>(C10*E13)</f>
        <v>6840</v>
      </c>
      <c r="D11" s="35" t="s">
        <v>80</v>
      </c>
      <c r="E11" s="14">
        <v>2</v>
      </c>
      <c r="F11" s="12"/>
      <c r="I11" s="12"/>
      <c r="J11" s="12"/>
    </row>
    <row r="12" spans="1:10" ht="15.75" customHeight="1" x14ac:dyDescent="0.2">
      <c r="A12" s="12"/>
      <c r="B12" s="12" t="s">
        <v>81</v>
      </c>
      <c r="C12" s="36">
        <f>(C16*E12)</f>
        <v>60000</v>
      </c>
      <c r="D12" s="35" t="s">
        <v>82</v>
      </c>
      <c r="E12" s="14">
        <v>3</v>
      </c>
      <c r="F12" s="12"/>
      <c r="I12" s="12"/>
      <c r="J12" s="12"/>
    </row>
    <row r="13" spans="1:10" ht="16.75" customHeight="1" x14ac:dyDescent="0.2">
      <c r="A13" s="12"/>
      <c r="B13" s="12" t="s">
        <v>83</v>
      </c>
      <c r="C13" s="15">
        <v>7</v>
      </c>
      <c r="D13" s="35" t="s">
        <v>62</v>
      </c>
      <c r="E13" s="12">
        <v>5</v>
      </c>
      <c r="F13" s="12"/>
      <c r="I13" s="12"/>
      <c r="J13" s="12"/>
    </row>
    <row r="14" spans="1:10" ht="15.75" customHeight="1" x14ac:dyDescent="0.2">
      <c r="A14" s="12"/>
      <c r="B14" s="10" t="s">
        <v>38</v>
      </c>
      <c r="C14" s="17">
        <f>SUM(C7:C13)</f>
        <v>68563</v>
      </c>
      <c r="D14" s="35" t="s">
        <v>84</v>
      </c>
      <c r="E14" s="12">
        <v>30</v>
      </c>
      <c r="F14" s="12"/>
      <c r="I14" s="12"/>
      <c r="J14" s="12"/>
    </row>
    <row r="15" spans="1:10" ht="15.75" customHeight="1" x14ac:dyDescent="0.2">
      <c r="A15" s="12"/>
      <c r="B15" s="12"/>
      <c r="C15" s="12"/>
      <c r="D15" s="35" t="s">
        <v>85</v>
      </c>
      <c r="E15" s="14">
        <v>300</v>
      </c>
      <c r="F15" s="12"/>
      <c r="I15" s="12"/>
      <c r="J15" s="12"/>
    </row>
    <row r="16" spans="1:10" ht="15.75" customHeight="1" x14ac:dyDescent="0.2">
      <c r="A16" s="12"/>
      <c r="B16" s="26" t="s">
        <v>86</v>
      </c>
      <c r="C16" s="37">
        <v>20000</v>
      </c>
      <c r="F16" s="12"/>
      <c r="I16" s="12"/>
      <c r="J16" s="12"/>
    </row>
    <row r="17" spans="1:10" ht="15.75" customHeight="1" x14ac:dyDescent="0.2">
      <c r="A17" s="12"/>
      <c r="B17" s="12"/>
      <c r="C17" s="12"/>
      <c r="E17" s="12"/>
      <c r="F17" s="12"/>
      <c r="I17" s="12"/>
      <c r="J17" s="12"/>
    </row>
    <row r="18" spans="1:10" ht="15.75" customHeight="1" x14ac:dyDescent="0.2">
      <c r="A18" s="12"/>
      <c r="B18" s="11" t="s">
        <v>41</v>
      </c>
      <c r="C18" s="11" t="s">
        <v>42</v>
      </c>
      <c r="D18" s="11" t="s">
        <v>43</v>
      </c>
      <c r="E18" s="11" t="s">
        <v>87</v>
      </c>
      <c r="F18" s="12"/>
      <c r="I18" s="12"/>
      <c r="J18" s="12"/>
    </row>
    <row r="19" spans="1:10" ht="15.75" customHeight="1" x14ac:dyDescent="0.2">
      <c r="A19" s="12"/>
      <c r="B19" s="12" t="s">
        <v>46</v>
      </c>
      <c r="C19" s="12">
        <v>4</v>
      </c>
      <c r="D19" s="15">
        <f>(C7*C19)</f>
        <v>1368</v>
      </c>
      <c r="E19" s="15">
        <f t="shared" ref="E19:E25" si="0">D19*($E$15/$E$14)</f>
        <v>13680</v>
      </c>
      <c r="F19" s="12"/>
      <c r="G19" s="12"/>
      <c r="H19" s="12"/>
      <c r="I19" s="12"/>
      <c r="J19" s="12"/>
    </row>
    <row r="20" spans="1:10" ht="15.75" customHeight="1" x14ac:dyDescent="0.2">
      <c r="A20" s="12"/>
      <c r="B20" s="12" t="s">
        <v>48</v>
      </c>
      <c r="C20" s="12">
        <v>11</v>
      </c>
      <c r="D20" s="15">
        <f>C20 * C10</f>
        <v>15048</v>
      </c>
      <c r="E20" s="15">
        <f t="shared" si="0"/>
        <v>150480</v>
      </c>
      <c r="F20" s="12"/>
      <c r="I20" s="12"/>
      <c r="J20" s="12"/>
    </row>
    <row r="21" spans="1:10" ht="15.75" customHeight="1" x14ac:dyDescent="0.2">
      <c r="A21" s="12"/>
      <c r="B21" s="12" t="s">
        <v>88</v>
      </c>
      <c r="C21" s="12">
        <v>8</v>
      </c>
      <c r="D21" s="12">
        <f>C21*(C8+C9)</f>
        <v>48</v>
      </c>
      <c r="E21" s="15">
        <f t="shared" si="0"/>
        <v>480</v>
      </c>
      <c r="F21" s="12"/>
      <c r="G21" s="12"/>
      <c r="I21" s="12"/>
      <c r="J21" s="12"/>
    </row>
    <row r="22" spans="1:10" ht="15.75" customHeight="1" x14ac:dyDescent="0.2">
      <c r="A22" s="12"/>
      <c r="B22" s="12" t="s">
        <v>70</v>
      </c>
      <c r="C22" s="12">
        <v>3</v>
      </c>
      <c r="D22" s="15">
        <f>(C11*C22)</f>
        <v>20520</v>
      </c>
      <c r="E22" s="15">
        <f t="shared" si="0"/>
        <v>205200</v>
      </c>
      <c r="F22" s="12"/>
      <c r="G22" s="12"/>
      <c r="H22" s="12"/>
      <c r="I22" s="12"/>
      <c r="J22" s="12"/>
    </row>
    <row r="23" spans="1:10" ht="15.75" customHeight="1" x14ac:dyDescent="0.2">
      <c r="A23" s="12"/>
      <c r="B23" s="12" t="s">
        <v>64</v>
      </c>
      <c r="C23" s="12">
        <v>3</v>
      </c>
      <c r="D23" s="15">
        <f>(C23*C12)</f>
        <v>180000</v>
      </c>
      <c r="E23" s="15">
        <f t="shared" si="0"/>
        <v>1800000</v>
      </c>
      <c r="F23" s="12"/>
      <c r="G23" s="12"/>
      <c r="H23" s="12"/>
      <c r="I23" s="12"/>
      <c r="J23" s="12"/>
    </row>
    <row r="24" spans="1:10" ht="15.75" customHeight="1" x14ac:dyDescent="0.2">
      <c r="A24" s="12"/>
      <c r="B24" s="12" t="s">
        <v>89</v>
      </c>
      <c r="C24" s="12">
        <v>3</v>
      </c>
      <c r="D24" s="12">
        <f>((C13-1)*C24 + 2)</f>
        <v>20</v>
      </c>
      <c r="E24" s="15">
        <f t="shared" si="0"/>
        <v>200</v>
      </c>
      <c r="F24" s="12"/>
      <c r="G24" s="12"/>
      <c r="H24" s="12"/>
      <c r="I24" s="12"/>
      <c r="J24" s="12"/>
    </row>
    <row r="25" spans="1:10" ht="15.75" customHeight="1" x14ac:dyDescent="0.2">
      <c r="A25" s="12"/>
      <c r="B25" s="10" t="s">
        <v>49</v>
      </c>
      <c r="C25" s="12"/>
      <c r="D25" s="15">
        <f>SUM(D19:D24)</f>
        <v>217004</v>
      </c>
      <c r="E25" s="17">
        <f t="shared" si="0"/>
        <v>2170040</v>
      </c>
      <c r="F25" s="12"/>
      <c r="I25" s="12"/>
      <c r="J25" s="12"/>
    </row>
    <row r="26" spans="1:10" ht="15.75" customHeight="1" x14ac:dyDescent="0.2">
      <c r="A26" s="12"/>
      <c r="B26" s="12"/>
      <c r="C26" s="12"/>
      <c r="D26" s="12"/>
      <c r="E26" s="12"/>
      <c r="F26" s="12"/>
      <c r="I26" s="12"/>
      <c r="J26" s="12"/>
    </row>
    <row r="28" spans="1:10" x14ac:dyDescent="0.2">
      <c r="B28" s="20" t="s">
        <v>54</v>
      </c>
      <c r="C28" s="21">
        <f>(E25/E15)</f>
        <v>7233.4666666666662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Roman,Regular"&amp;A</oddHeader>
    <oddFooter>&amp;C&amp;"Times New Roman,Regular"Page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2A8C-E027-2544-ACB2-8ACAD4CF4A00}">
  <dimension ref="B1:H87"/>
  <sheetViews>
    <sheetView topLeftCell="A6" workbookViewId="0">
      <selection activeCell="C6" sqref="C6"/>
    </sheetView>
  </sheetViews>
  <sheetFormatPr baseColWidth="10" defaultColWidth="8.7109375" defaultRowHeight="16" x14ac:dyDescent="0.2"/>
  <cols>
    <col min="2" max="2" width="35.7109375" bestFit="1" customWidth="1"/>
    <col min="3" max="3" width="11.140625" bestFit="1" customWidth="1"/>
    <col min="5" max="5" width="19.85546875" bestFit="1" customWidth="1"/>
    <col min="6" max="6" width="9.42578125" bestFit="1" customWidth="1"/>
    <col min="7" max="7" width="7.140625" customWidth="1"/>
    <col min="8" max="8" width="9.42578125" bestFit="1" customWidth="1"/>
    <col min="9" max="9" width="6.5703125" customWidth="1"/>
    <col min="10" max="10" width="9.140625" customWidth="1"/>
  </cols>
  <sheetData>
    <row r="1" spans="2:7" ht="15" customHeight="1" x14ac:dyDescent="0.2">
      <c r="B1" s="10" t="s">
        <v>20</v>
      </c>
      <c r="C1" s="10"/>
    </row>
    <row r="2" spans="2:7" ht="17.5" customHeight="1" x14ac:dyDescent="0.2">
      <c r="B2" s="10" t="s">
        <v>21</v>
      </c>
      <c r="C2" s="10"/>
    </row>
    <row r="3" spans="2:7" ht="12.75" customHeight="1" x14ac:dyDescent="0.2">
      <c r="B3" s="10"/>
      <c r="C3" s="10"/>
    </row>
    <row r="4" spans="2:7" ht="12.75" customHeight="1" x14ac:dyDescent="0.2">
      <c r="B4" s="20" t="s">
        <v>90</v>
      </c>
      <c r="C4" s="21">
        <f>SUM(F10:F12)</f>
        <v>12</v>
      </c>
    </row>
    <row r="5" spans="2:7" ht="15.75" customHeight="1" x14ac:dyDescent="0.2">
      <c r="B5" s="20" t="s">
        <v>38</v>
      </c>
      <c r="C5" s="21">
        <f>(ROWS(C10:C20)*F10)+(ROWS(C24:C34)*F11)+((ROWS(C38:C85)*F12)+F13)</f>
        <v>100502</v>
      </c>
    </row>
    <row r="6" spans="2:7" ht="15.75" customHeight="1" x14ac:dyDescent="0.2">
      <c r="B6" s="20" t="s">
        <v>49</v>
      </c>
      <c r="C6" s="21">
        <f>(F10*SUM(C10:C20))+(F11*SUM(C24:C34))+(F12*SUM(C38:C85))+(F13*C86)</f>
        <v>1101914</v>
      </c>
    </row>
    <row r="7" spans="2:7" ht="15.75" customHeight="1" x14ac:dyDescent="0.2">
      <c r="B7" s="20" t="s">
        <v>91</v>
      </c>
      <c r="C7" s="38">
        <f>((F10*SUM(C10:C20)/F16))+((F11*SUM(C24:C34)/F17))+((F12*SUM(C38:C86)/F18))+((F13*C86)/F18)</f>
        <v>3673.413333333333</v>
      </c>
    </row>
    <row r="8" spans="2:7" ht="15.75" customHeight="1" x14ac:dyDescent="0.2">
      <c r="E8" s="12"/>
    </row>
    <row r="9" spans="2:7" ht="15.75" customHeight="1" x14ac:dyDescent="0.2">
      <c r="B9" s="11" t="s">
        <v>92</v>
      </c>
      <c r="C9" s="11" t="s">
        <v>42</v>
      </c>
      <c r="E9" s="39" t="s">
        <v>93</v>
      </c>
      <c r="F9" s="39" t="s">
        <v>94</v>
      </c>
    </row>
    <row r="10" spans="2:7" ht="15.75" customHeight="1" x14ac:dyDescent="0.2">
      <c r="B10" s="12" t="s">
        <v>95</v>
      </c>
      <c r="C10" s="12">
        <v>1</v>
      </c>
      <c r="E10" t="s">
        <v>96</v>
      </c>
      <c r="F10" s="40">
        <v>1</v>
      </c>
    </row>
    <row r="11" spans="2:7" x14ac:dyDescent="0.2">
      <c r="B11" s="12" t="s">
        <v>97</v>
      </c>
      <c r="C11" s="12">
        <v>2</v>
      </c>
      <c r="E11" t="s">
        <v>98</v>
      </c>
      <c r="F11" s="40">
        <v>1</v>
      </c>
    </row>
    <row r="12" spans="2:7" x14ac:dyDescent="0.2">
      <c r="B12" t="s">
        <v>99</v>
      </c>
      <c r="C12" s="12">
        <v>1</v>
      </c>
      <c r="E12" t="s">
        <v>100</v>
      </c>
      <c r="F12" s="40">
        <v>10</v>
      </c>
    </row>
    <row r="13" spans="2:7" ht="15.75" customHeight="1" x14ac:dyDescent="0.2">
      <c r="B13" s="12" t="s">
        <v>101</v>
      </c>
      <c r="C13" s="12">
        <v>7</v>
      </c>
      <c r="E13" t="s">
        <v>102</v>
      </c>
      <c r="F13" s="41">
        <v>100000</v>
      </c>
      <c r="G13" s="42"/>
    </row>
    <row r="14" spans="2:7" ht="15.75" customHeight="1" x14ac:dyDescent="0.2">
      <c r="B14" s="12" t="s">
        <v>103</v>
      </c>
      <c r="C14" s="12">
        <v>2</v>
      </c>
    </row>
    <row r="15" spans="2:7" ht="15.75" customHeight="1" x14ac:dyDescent="0.2">
      <c r="B15" s="12" t="s">
        <v>48</v>
      </c>
      <c r="C15" s="12">
        <v>11</v>
      </c>
      <c r="D15" s="10"/>
      <c r="E15" s="39" t="s">
        <v>104</v>
      </c>
      <c r="F15" s="39" t="s">
        <v>105</v>
      </c>
    </row>
    <row r="16" spans="2:7" ht="15.75" customHeight="1" x14ac:dyDescent="0.2">
      <c r="B16" s="12" t="s">
        <v>106</v>
      </c>
      <c r="C16" s="12">
        <v>1</v>
      </c>
      <c r="D16" s="15"/>
      <c r="E16" t="s">
        <v>107</v>
      </c>
      <c r="F16" s="40">
        <v>300</v>
      </c>
    </row>
    <row r="17" spans="2:6" ht="15.75" customHeight="1" x14ac:dyDescent="0.2">
      <c r="B17" s="12" t="s">
        <v>108</v>
      </c>
      <c r="C17" s="12">
        <v>1</v>
      </c>
      <c r="D17" s="15"/>
      <c r="E17" t="s">
        <v>109</v>
      </c>
      <c r="F17" s="40">
        <v>300</v>
      </c>
    </row>
    <row r="18" spans="2:6" ht="15.75" customHeight="1" x14ac:dyDescent="0.2">
      <c r="B18" s="12" t="s">
        <v>110</v>
      </c>
      <c r="C18" s="12">
        <v>2</v>
      </c>
      <c r="D18" s="15"/>
      <c r="E18" t="s">
        <v>111</v>
      </c>
      <c r="F18" s="40">
        <v>300</v>
      </c>
    </row>
    <row r="19" spans="2:6" ht="15.75" customHeight="1" x14ac:dyDescent="0.2">
      <c r="B19" s="12" t="s">
        <v>112</v>
      </c>
      <c r="C19" s="12">
        <v>2</v>
      </c>
    </row>
    <row r="20" spans="2:6" x14ac:dyDescent="0.2">
      <c r="B20" s="12" t="s">
        <v>113</v>
      </c>
      <c r="C20" s="12">
        <v>2</v>
      </c>
      <c r="E20" s="39" t="s">
        <v>114</v>
      </c>
      <c r="F20" s="39" t="s">
        <v>94</v>
      </c>
    </row>
    <row r="21" spans="2:6" x14ac:dyDescent="0.2">
      <c r="B21" s="42" t="s">
        <v>115</v>
      </c>
      <c r="C21" s="42">
        <f>SUM(C10:C20)</f>
        <v>32</v>
      </c>
      <c r="E21" s="43" t="s">
        <v>116</v>
      </c>
      <c r="F21" s="44">
        <v>4</v>
      </c>
    </row>
    <row r="22" spans="2:6" x14ac:dyDescent="0.2">
      <c r="E22" s="45" t="s">
        <v>97</v>
      </c>
      <c r="F22" s="45">
        <v>4</v>
      </c>
    </row>
    <row r="23" spans="2:6" x14ac:dyDescent="0.2">
      <c r="B23" s="11" t="s">
        <v>117</v>
      </c>
      <c r="C23" s="11" t="s">
        <v>42</v>
      </c>
      <c r="E23" s="43" t="s">
        <v>55</v>
      </c>
      <c r="F23" s="45">
        <v>12</v>
      </c>
    </row>
    <row r="24" spans="2:6" x14ac:dyDescent="0.2">
      <c r="B24" s="12" t="s">
        <v>95</v>
      </c>
      <c r="C24" s="12">
        <v>1</v>
      </c>
    </row>
    <row r="25" spans="2:6" x14ac:dyDescent="0.2">
      <c r="B25" s="12" t="s">
        <v>97</v>
      </c>
      <c r="C25" s="12">
        <v>2</v>
      </c>
      <c r="E25" s="11" t="s">
        <v>118</v>
      </c>
      <c r="F25" s="11" t="s">
        <v>94</v>
      </c>
    </row>
    <row r="26" spans="2:6" x14ac:dyDescent="0.2">
      <c r="B26" t="s">
        <v>99</v>
      </c>
      <c r="C26" s="12">
        <v>1</v>
      </c>
      <c r="E26" t="s">
        <v>116</v>
      </c>
      <c r="F26" s="15">
        <v>4</v>
      </c>
    </row>
    <row r="27" spans="2:6" x14ac:dyDescent="0.2">
      <c r="B27" s="12" t="s">
        <v>101</v>
      </c>
      <c r="C27" s="12">
        <v>7</v>
      </c>
      <c r="E27" s="12" t="s">
        <v>97</v>
      </c>
      <c r="F27" s="12">
        <v>4</v>
      </c>
    </row>
    <row r="28" spans="2:6" x14ac:dyDescent="0.2">
      <c r="B28" s="12" t="s">
        <v>103</v>
      </c>
      <c r="C28" s="12">
        <v>2</v>
      </c>
      <c r="E28" t="s">
        <v>55</v>
      </c>
      <c r="F28" s="12">
        <v>12</v>
      </c>
    </row>
    <row r="29" spans="2:6" x14ac:dyDescent="0.2">
      <c r="B29" s="12" t="s">
        <v>48</v>
      </c>
      <c r="C29" s="12">
        <v>11</v>
      </c>
      <c r="D29" s="10"/>
    </row>
    <row r="30" spans="2:6" x14ac:dyDescent="0.2">
      <c r="B30" s="12" t="s">
        <v>106</v>
      </c>
      <c r="C30" s="12">
        <v>1</v>
      </c>
      <c r="D30" s="15"/>
      <c r="E30" s="11" t="s">
        <v>119</v>
      </c>
      <c r="F30" s="11" t="s">
        <v>94</v>
      </c>
    </row>
    <row r="31" spans="2:6" x14ac:dyDescent="0.2">
      <c r="B31" s="12" t="s">
        <v>108</v>
      </c>
      <c r="C31" s="12">
        <v>1</v>
      </c>
      <c r="D31" s="15"/>
      <c r="E31" t="s">
        <v>116</v>
      </c>
      <c r="F31" s="15">
        <v>4</v>
      </c>
    </row>
    <row r="32" spans="2:6" x14ac:dyDescent="0.2">
      <c r="B32" s="12" t="s">
        <v>110</v>
      </c>
      <c r="C32" s="12">
        <v>2</v>
      </c>
      <c r="D32" s="15"/>
      <c r="E32" s="12" t="s">
        <v>97</v>
      </c>
      <c r="F32" s="12">
        <v>4</v>
      </c>
    </row>
    <row r="33" spans="2:8" x14ac:dyDescent="0.2">
      <c r="B33" s="12" t="s">
        <v>112</v>
      </c>
      <c r="C33" s="12">
        <v>2</v>
      </c>
      <c r="E33" t="s">
        <v>55</v>
      </c>
      <c r="F33" s="12">
        <v>12</v>
      </c>
    </row>
    <row r="34" spans="2:8" x14ac:dyDescent="0.2">
      <c r="B34" s="12" t="s">
        <v>113</v>
      </c>
      <c r="C34" s="12">
        <v>2</v>
      </c>
    </row>
    <row r="35" spans="2:8" x14ac:dyDescent="0.2">
      <c r="B35" s="42" t="s">
        <v>115</v>
      </c>
      <c r="C35" s="42">
        <f>SUM(C24:C34)</f>
        <v>32</v>
      </c>
    </row>
    <row r="37" spans="2:8" x14ac:dyDescent="0.2">
      <c r="B37" s="11" t="s">
        <v>120</v>
      </c>
      <c r="C37" s="11" t="s">
        <v>42</v>
      </c>
      <c r="H37" s="12"/>
    </row>
    <row r="38" spans="2:8" x14ac:dyDescent="0.2">
      <c r="B38" s="43" t="s">
        <v>121</v>
      </c>
      <c r="C38" s="43">
        <v>5</v>
      </c>
    </row>
    <row r="39" spans="2:8" x14ac:dyDescent="0.2">
      <c r="B39" s="43" t="s">
        <v>122</v>
      </c>
      <c r="C39" s="43">
        <v>8</v>
      </c>
    </row>
    <row r="40" spans="2:8" x14ac:dyDescent="0.2">
      <c r="B40" s="43" t="s">
        <v>123</v>
      </c>
      <c r="C40" s="43">
        <v>7</v>
      </c>
    </row>
    <row r="41" spans="2:8" x14ac:dyDescent="0.2">
      <c r="B41" s="43" t="s">
        <v>145</v>
      </c>
      <c r="C41" s="43">
        <v>18</v>
      </c>
    </row>
    <row r="42" spans="2:8" x14ac:dyDescent="0.2">
      <c r="B42" s="43" t="s">
        <v>145</v>
      </c>
      <c r="C42" s="43">
        <v>18</v>
      </c>
      <c r="E42" s="12"/>
      <c r="F42" s="12"/>
    </row>
    <row r="43" spans="2:8" x14ac:dyDescent="0.2">
      <c r="B43" s="43" t="s">
        <v>95</v>
      </c>
      <c r="C43" s="43">
        <v>1</v>
      </c>
      <c r="D43" s="10"/>
      <c r="H43" s="12"/>
    </row>
    <row r="44" spans="2:8" x14ac:dyDescent="0.2">
      <c r="B44" s="43" t="s">
        <v>95</v>
      </c>
      <c r="C44" s="43">
        <v>1</v>
      </c>
      <c r="D44" s="15"/>
      <c r="H44" s="12"/>
    </row>
    <row r="45" spans="2:8" x14ac:dyDescent="0.2">
      <c r="B45" s="43" t="s">
        <v>147</v>
      </c>
      <c r="C45" s="43">
        <v>4</v>
      </c>
      <c r="D45" s="15"/>
      <c r="H45" s="12"/>
    </row>
    <row r="46" spans="2:8" x14ac:dyDescent="0.2">
      <c r="B46" s="43" t="s">
        <v>124</v>
      </c>
      <c r="C46" s="43">
        <v>1</v>
      </c>
      <c r="D46" s="15"/>
    </row>
    <row r="47" spans="2:8" x14ac:dyDescent="0.2">
      <c r="B47" s="43" t="s">
        <v>124</v>
      </c>
      <c r="C47" s="43">
        <v>2</v>
      </c>
    </row>
    <row r="48" spans="2:8" x14ac:dyDescent="0.2">
      <c r="B48" s="43" t="s">
        <v>128</v>
      </c>
      <c r="C48" s="43">
        <v>3</v>
      </c>
    </row>
    <row r="49" spans="2:3" x14ac:dyDescent="0.2">
      <c r="B49" s="43" t="s">
        <v>125</v>
      </c>
      <c r="C49" s="43">
        <v>4</v>
      </c>
    </row>
    <row r="50" spans="2:3" x14ac:dyDescent="0.2">
      <c r="B50" s="43" t="s">
        <v>136</v>
      </c>
      <c r="C50" s="43">
        <v>1</v>
      </c>
    </row>
    <row r="51" spans="2:3" x14ac:dyDescent="0.2">
      <c r="B51" s="43" t="s">
        <v>136</v>
      </c>
      <c r="C51" s="43">
        <v>1</v>
      </c>
    </row>
    <row r="52" spans="2:3" x14ac:dyDescent="0.2">
      <c r="B52" s="43" t="s">
        <v>130</v>
      </c>
      <c r="C52" s="43">
        <v>1</v>
      </c>
    </row>
    <row r="53" spans="2:3" x14ac:dyDescent="0.2">
      <c r="B53" s="43" t="s">
        <v>133</v>
      </c>
      <c r="C53" s="43">
        <v>1</v>
      </c>
    </row>
    <row r="54" spans="2:3" x14ac:dyDescent="0.2">
      <c r="B54" s="43" t="s">
        <v>148</v>
      </c>
      <c r="C54" s="43">
        <v>2</v>
      </c>
    </row>
    <row r="55" spans="2:3" x14ac:dyDescent="0.2">
      <c r="B55" s="43" t="s">
        <v>135</v>
      </c>
      <c r="C55" s="43">
        <v>1</v>
      </c>
    </row>
    <row r="56" spans="2:3" x14ac:dyDescent="0.2">
      <c r="B56" s="43" t="s">
        <v>146</v>
      </c>
      <c r="C56" s="43">
        <v>1</v>
      </c>
    </row>
    <row r="57" spans="2:3" x14ac:dyDescent="0.2">
      <c r="B57" s="43" t="s">
        <v>129</v>
      </c>
      <c r="C57" s="43">
        <v>6</v>
      </c>
    </row>
    <row r="58" spans="2:3" x14ac:dyDescent="0.2">
      <c r="B58" s="43" t="s">
        <v>149</v>
      </c>
      <c r="C58" s="43">
        <v>2</v>
      </c>
    </row>
    <row r="59" spans="2:3" x14ac:dyDescent="0.2">
      <c r="B59" s="43" t="s">
        <v>131</v>
      </c>
      <c r="C59" s="43">
        <v>9</v>
      </c>
    </row>
    <row r="60" spans="2:3" x14ac:dyDescent="0.2">
      <c r="B60" s="43" t="s">
        <v>137</v>
      </c>
      <c r="C60" s="43">
        <v>1</v>
      </c>
    </row>
    <row r="61" spans="2:3" x14ac:dyDescent="0.2">
      <c r="B61" s="43" t="s">
        <v>137</v>
      </c>
      <c r="C61" s="43">
        <v>1</v>
      </c>
    </row>
    <row r="62" spans="2:3" x14ac:dyDescent="0.2">
      <c r="B62" s="43" t="s">
        <v>138</v>
      </c>
      <c r="C62" s="43">
        <v>4</v>
      </c>
    </row>
    <row r="63" spans="2:3" x14ac:dyDescent="0.2">
      <c r="B63" s="43" t="s">
        <v>138</v>
      </c>
      <c r="C63" s="43">
        <v>4</v>
      </c>
    </row>
    <row r="64" spans="2:3" x14ac:dyDescent="0.2">
      <c r="B64" s="43" t="s">
        <v>139</v>
      </c>
      <c r="C64" s="43">
        <v>1</v>
      </c>
    </row>
    <row r="65" spans="2:3" x14ac:dyDescent="0.2">
      <c r="B65" s="43" t="s">
        <v>139</v>
      </c>
      <c r="C65" s="43">
        <v>1</v>
      </c>
    </row>
    <row r="66" spans="2:3" x14ac:dyDescent="0.2">
      <c r="B66" s="43" t="s">
        <v>140</v>
      </c>
      <c r="C66" s="43">
        <v>2</v>
      </c>
    </row>
    <row r="67" spans="2:3" x14ac:dyDescent="0.2">
      <c r="B67" s="43" t="s">
        <v>140</v>
      </c>
      <c r="C67" s="43">
        <v>2</v>
      </c>
    </row>
    <row r="68" spans="2:3" x14ac:dyDescent="0.2">
      <c r="B68" s="43" t="s">
        <v>48</v>
      </c>
      <c r="C68" s="43">
        <v>2</v>
      </c>
    </row>
    <row r="69" spans="2:3" x14ac:dyDescent="0.2">
      <c r="B69" s="43" t="s">
        <v>126</v>
      </c>
      <c r="C69" s="43">
        <v>3</v>
      </c>
    </row>
    <row r="70" spans="2:3" x14ac:dyDescent="0.2">
      <c r="B70" s="43" t="s">
        <v>141</v>
      </c>
      <c r="C70" s="43">
        <v>9</v>
      </c>
    </row>
    <row r="71" spans="2:3" x14ac:dyDescent="0.2">
      <c r="B71" s="43" t="s">
        <v>141</v>
      </c>
      <c r="C71" s="43">
        <v>9</v>
      </c>
    </row>
    <row r="72" spans="2:3" x14ac:dyDescent="0.2">
      <c r="B72" s="43" t="s">
        <v>132</v>
      </c>
      <c r="C72" s="43">
        <v>5</v>
      </c>
    </row>
    <row r="73" spans="2:3" x14ac:dyDescent="0.2">
      <c r="B73" s="43" t="s">
        <v>150</v>
      </c>
      <c r="C73" s="43">
        <v>10</v>
      </c>
    </row>
    <row r="74" spans="2:3" x14ac:dyDescent="0.2">
      <c r="B74" s="43" t="s">
        <v>97</v>
      </c>
      <c r="C74" s="43">
        <v>1</v>
      </c>
    </row>
    <row r="75" spans="2:3" x14ac:dyDescent="0.2">
      <c r="B75" s="43" t="s">
        <v>97</v>
      </c>
      <c r="C75" s="43">
        <v>3</v>
      </c>
    </row>
    <row r="76" spans="2:3" x14ac:dyDescent="0.2">
      <c r="B76" s="43" t="s">
        <v>142</v>
      </c>
      <c r="C76" s="43">
        <v>1</v>
      </c>
    </row>
    <row r="77" spans="2:3" x14ac:dyDescent="0.2">
      <c r="B77" s="43" t="s">
        <v>142</v>
      </c>
      <c r="C77" s="43">
        <v>1</v>
      </c>
    </row>
    <row r="78" spans="2:3" x14ac:dyDescent="0.2">
      <c r="B78" s="43" t="s">
        <v>151</v>
      </c>
      <c r="C78" s="43">
        <v>3</v>
      </c>
    </row>
    <row r="79" spans="2:3" x14ac:dyDescent="0.2">
      <c r="B79" s="43" t="s">
        <v>143</v>
      </c>
      <c r="C79" s="43">
        <v>1</v>
      </c>
    </row>
    <row r="80" spans="2:3" x14ac:dyDescent="0.2">
      <c r="B80" s="43" t="s">
        <v>143</v>
      </c>
      <c r="C80" s="43">
        <v>1</v>
      </c>
    </row>
    <row r="81" spans="2:4" x14ac:dyDescent="0.2">
      <c r="B81" s="43" t="s">
        <v>144</v>
      </c>
      <c r="C81" s="43">
        <v>1</v>
      </c>
    </row>
    <row r="82" spans="2:4" x14ac:dyDescent="0.2">
      <c r="B82" s="43" t="s">
        <v>144</v>
      </c>
      <c r="C82" s="43">
        <v>2</v>
      </c>
    </row>
    <row r="83" spans="2:4" x14ac:dyDescent="0.2">
      <c r="B83" s="43" t="s">
        <v>127</v>
      </c>
      <c r="C83" s="43">
        <v>5</v>
      </c>
    </row>
    <row r="84" spans="2:4" x14ac:dyDescent="0.2">
      <c r="B84" s="43" t="s">
        <v>134</v>
      </c>
      <c r="C84" s="43">
        <v>8</v>
      </c>
    </row>
    <row r="85" spans="2:4" x14ac:dyDescent="0.2">
      <c r="B85" s="43" t="s">
        <v>152</v>
      </c>
      <c r="C85" s="43">
        <v>7</v>
      </c>
    </row>
    <row r="86" spans="2:4" x14ac:dyDescent="0.2">
      <c r="B86" s="43" t="s">
        <v>153</v>
      </c>
      <c r="C86" s="43">
        <v>11</v>
      </c>
      <c r="D86" s="15"/>
    </row>
    <row r="87" spans="2:4" x14ac:dyDescent="0.2">
      <c r="B87" s="42" t="s">
        <v>115</v>
      </c>
      <c r="C87" s="42">
        <f>SUM(C38:C85)</f>
        <v>185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11A9-9954-8E43-A343-06D6FDE08213}">
  <dimension ref="A1:F194"/>
  <sheetViews>
    <sheetView topLeftCell="A62" zoomScale="125" zoomScaleNormal="125" workbookViewId="0">
      <selection activeCell="C5" sqref="C5"/>
    </sheetView>
  </sheetViews>
  <sheetFormatPr baseColWidth="10" defaultRowHeight="16" x14ac:dyDescent="0.2"/>
  <cols>
    <col min="2" max="2" width="56.42578125" customWidth="1"/>
    <col min="3" max="3" width="13.28515625" style="68" customWidth="1"/>
    <col min="5" max="5" width="30.42578125" customWidth="1"/>
  </cols>
  <sheetData>
    <row r="1" spans="1:6" x14ac:dyDescent="0.2">
      <c r="B1" s="10" t="s">
        <v>20</v>
      </c>
      <c r="C1" s="65"/>
    </row>
    <row r="2" spans="1:6" x14ac:dyDescent="0.2">
      <c r="B2" s="10" t="s">
        <v>21</v>
      </c>
      <c r="C2" s="65"/>
    </row>
    <row r="3" spans="1:6" x14ac:dyDescent="0.2">
      <c r="B3" s="10"/>
      <c r="C3" s="65"/>
    </row>
    <row r="4" spans="1:6" x14ac:dyDescent="0.2">
      <c r="B4" s="20" t="s">
        <v>90</v>
      </c>
      <c r="C4" s="66">
        <f>SUM(F10:F14)</f>
        <v>14</v>
      </c>
    </row>
    <row r="5" spans="1:6" x14ac:dyDescent="0.2">
      <c r="B5" s="20" t="s">
        <v>38</v>
      </c>
      <c r="C5" s="66">
        <f>(ROWS(C10:C105)*F10)+(ROWS(C111:C112)*F11)+(ROWS(C119:C130)*F12)+(ROWS(C137:C172)*F14)+(ROWS(C178:C191)*F13)</f>
        <v>714</v>
      </c>
    </row>
    <row r="6" spans="1:6" x14ac:dyDescent="0.2">
      <c r="B6" s="20" t="s">
        <v>49</v>
      </c>
      <c r="C6" s="66">
        <f xml:space="preserve"> (F10*SUM(C10:C105))+(F11*SUM(C111:C112))+(F12*SUM(C119:C130))+(F13*SUM(C178:C191))+(F14*SUM(C137:C172))</f>
        <v>8943</v>
      </c>
    </row>
    <row r="7" spans="1:6" x14ac:dyDescent="0.2">
      <c r="B7" s="20" t="s">
        <v>91</v>
      </c>
      <c r="C7" s="67">
        <f>((F10*SUM(C10:C105))/F17)+((F11*SUM(C111:C112))/F18)+((F12*SUM(C119:C130))/F19)+((F13*SUM(C178:C191))/F20)+((F14*SUM(C137:C172))/F21)</f>
        <v>29.81</v>
      </c>
    </row>
    <row r="9" spans="1:6" x14ac:dyDescent="0.2">
      <c r="A9" s="48"/>
      <c r="B9" s="49" t="s">
        <v>260</v>
      </c>
      <c r="C9" s="53" t="s">
        <v>42</v>
      </c>
      <c r="E9" s="39" t="s">
        <v>93</v>
      </c>
      <c r="F9" s="39" t="s">
        <v>94</v>
      </c>
    </row>
    <row r="10" spans="1:6" x14ac:dyDescent="0.2">
      <c r="A10" s="48"/>
      <c r="B10" s="54" t="s">
        <v>216</v>
      </c>
      <c r="C10" s="50">
        <v>4</v>
      </c>
      <c r="E10" t="s">
        <v>157</v>
      </c>
      <c r="F10" s="40">
        <v>6</v>
      </c>
    </row>
    <row r="11" spans="1:6" x14ac:dyDescent="0.2">
      <c r="A11" s="48"/>
      <c r="B11" s="54" t="s">
        <v>217</v>
      </c>
      <c r="C11" s="51">
        <v>5</v>
      </c>
      <c r="E11" t="s">
        <v>159</v>
      </c>
      <c r="F11" s="40">
        <v>1</v>
      </c>
    </row>
    <row r="12" spans="1:6" x14ac:dyDescent="0.2">
      <c r="A12" s="48"/>
      <c r="B12" s="59" t="s">
        <v>218</v>
      </c>
      <c r="C12" s="51">
        <v>5</v>
      </c>
      <c r="E12" t="s">
        <v>24</v>
      </c>
      <c r="F12" s="40">
        <v>3</v>
      </c>
    </row>
    <row r="13" spans="1:6" x14ac:dyDescent="0.2">
      <c r="A13" s="48"/>
      <c r="B13" s="54" t="s">
        <v>219</v>
      </c>
      <c r="C13" s="51">
        <v>3</v>
      </c>
      <c r="E13" t="s">
        <v>28</v>
      </c>
      <c r="F13" s="40">
        <v>2</v>
      </c>
    </row>
    <row r="14" spans="1:6" x14ac:dyDescent="0.2">
      <c r="A14" s="48"/>
      <c r="B14" s="54" t="s">
        <v>220</v>
      </c>
      <c r="C14" s="51">
        <v>3</v>
      </c>
      <c r="E14" t="s">
        <v>26</v>
      </c>
      <c r="F14" s="40">
        <v>2</v>
      </c>
    </row>
    <row r="15" spans="1:6" x14ac:dyDescent="0.2">
      <c r="A15" s="48"/>
      <c r="B15" s="54" t="s">
        <v>221</v>
      </c>
      <c r="C15" s="51">
        <v>9</v>
      </c>
    </row>
    <row r="16" spans="1:6" x14ac:dyDescent="0.2">
      <c r="A16" s="48"/>
      <c r="B16" s="54" t="s">
        <v>222</v>
      </c>
      <c r="C16" s="51">
        <v>2</v>
      </c>
      <c r="E16" s="39" t="s">
        <v>104</v>
      </c>
      <c r="F16" s="39" t="s">
        <v>105</v>
      </c>
    </row>
    <row r="17" spans="1:6" x14ac:dyDescent="0.2">
      <c r="A17" s="48"/>
      <c r="B17" s="64"/>
      <c r="C17" s="51"/>
      <c r="E17" t="s">
        <v>158</v>
      </c>
      <c r="F17" s="40">
        <v>300</v>
      </c>
    </row>
    <row r="18" spans="1:6" x14ac:dyDescent="0.2">
      <c r="A18" s="48"/>
      <c r="B18" s="54" t="s">
        <v>223</v>
      </c>
      <c r="C18" s="51">
        <v>3</v>
      </c>
      <c r="E18" t="s">
        <v>159</v>
      </c>
      <c r="F18" s="40">
        <v>300</v>
      </c>
    </row>
    <row r="19" spans="1:6" x14ac:dyDescent="0.2">
      <c r="A19" s="48"/>
      <c r="B19" s="59" t="s">
        <v>224</v>
      </c>
      <c r="C19" s="51">
        <v>14</v>
      </c>
      <c r="E19" t="s">
        <v>24</v>
      </c>
      <c r="F19" s="40">
        <v>300</v>
      </c>
    </row>
    <row r="20" spans="1:6" x14ac:dyDescent="0.2">
      <c r="A20" s="48"/>
      <c r="B20" s="54" t="s">
        <v>48</v>
      </c>
      <c r="C20" s="51">
        <v>19</v>
      </c>
      <c r="E20" t="s">
        <v>28</v>
      </c>
      <c r="F20" s="40">
        <v>300</v>
      </c>
    </row>
    <row r="21" spans="1:6" x14ac:dyDescent="0.2">
      <c r="A21" s="48"/>
      <c r="B21" s="54" t="s">
        <v>225</v>
      </c>
      <c r="C21" s="51">
        <v>5</v>
      </c>
      <c r="E21" t="s">
        <v>26</v>
      </c>
      <c r="F21" s="40">
        <v>300</v>
      </c>
    </row>
    <row r="22" spans="1:6" x14ac:dyDescent="0.2">
      <c r="A22" s="48"/>
      <c r="B22" s="54" t="s">
        <v>226</v>
      </c>
      <c r="C22" s="51">
        <v>5</v>
      </c>
    </row>
    <row r="23" spans="1:6" x14ac:dyDescent="0.2">
      <c r="A23" s="48"/>
      <c r="B23" s="54" t="s">
        <v>227</v>
      </c>
      <c r="C23" s="51">
        <v>3</v>
      </c>
      <c r="E23" s="55" t="s">
        <v>213</v>
      </c>
      <c r="F23" s="55" t="s">
        <v>42</v>
      </c>
    </row>
    <row r="24" spans="1:6" x14ac:dyDescent="0.2">
      <c r="A24" s="48"/>
      <c r="B24" s="58" t="s">
        <v>263</v>
      </c>
      <c r="C24" s="51">
        <v>4</v>
      </c>
      <c r="E24" t="s">
        <v>55</v>
      </c>
      <c r="F24">
        <v>17</v>
      </c>
    </row>
    <row r="25" spans="1:6" x14ac:dyDescent="0.2">
      <c r="A25" s="48"/>
      <c r="B25" s="58" t="s">
        <v>99</v>
      </c>
      <c r="C25" s="51">
        <v>14</v>
      </c>
      <c r="E25" t="s">
        <v>95</v>
      </c>
      <c r="F25">
        <v>1</v>
      </c>
    </row>
    <row r="26" spans="1:6" x14ac:dyDescent="0.2">
      <c r="A26" s="48"/>
      <c r="B26" s="54" t="s">
        <v>103</v>
      </c>
      <c r="C26" s="51">
        <v>9</v>
      </c>
      <c r="E26" t="s">
        <v>97</v>
      </c>
      <c r="F26">
        <v>1</v>
      </c>
    </row>
    <row r="27" spans="1:6" x14ac:dyDescent="0.2">
      <c r="A27" s="48"/>
      <c r="B27" s="54" t="s">
        <v>156</v>
      </c>
      <c r="C27" s="51">
        <v>7</v>
      </c>
    </row>
    <row r="28" spans="1:6" x14ac:dyDescent="0.2">
      <c r="A28" s="48"/>
      <c r="B28" s="54" t="s">
        <v>228</v>
      </c>
      <c r="C28" s="51">
        <v>53</v>
      </c>
      <c r="E28" s="56" t="s">
        <v>214</v>
      </c>
      <c r="F28" s="57" t="s">
        <v>42</v>
      </c>
    </row>
    <row r="29" spans="1:6" x14ac:dyDescent="0.2">
      <c r="A29" s="48"/>
      <c r="B29" s="54" t="s">
        <v>229</v>
      </c>
      <c r="C29" s="51">
        <v>8</v>
      </c>
      <c r="E29" t="s">
        <v>55</v>
      </c>
      <c r="F29">
        <v>14</v>
      </c>
    </row>
    <row r="30" spans="1:6" x14ac:dyDescent="0.2">
      <c r="A30" s="48"/>
      <c r="B30" s="54" t="s">
        <v>230</v>
      </c>
      <c r="C30" s="51">
        <v>12</v>
      </c>
      <c r="E30" t="s">
        <v>95</v>
      </c>
      <c r="F30">
        <v>1</v>
      </c>
    </row>
    <row r="31" spans="1:6" x14ac:dyDescent="0.2">
      <c r="A31" s="48"/>
      <c r="B31" s="54" t="s">
        <v>231</v>
      </c>
      <c r="C31" s="51">
        <v>5</v>
      </c>
      <c r="E31" t="s">
        <v>97</v>
      </c>
      <c r="F31">
        <v>1</v>
      </c>
    </row>
    <row r="32" spans="1:6" x14ac:dyDescent="0.2">
      <c r="A32" s="48"/>
      <c r="B32" s="54" t="s">
        <v>232</v>
      </c>
      <c r="C32" s="51">
        <v>1</v>
      </c>
    </row>
    <row r="33" spans="1:6" x14ac:dyDescent="0.2">
      <c r="A33" s="48"/>
      <c r="B33" s="54" t="s">
        <v>233</v>
      </c>
      <c r="C33" s="51">
        <v>1</v>
      </c>
      <c r="E33" s="56" t="s">
        <v>215</v>
      </c>
      <c r="F33" s="57" t="s">
        <v>42</v>
      </c>
    </row>
    <row r="34" spans="1:6" x14ac:dyDescent="0.2">
      <c r="A34" s="48"/>
      <c r="B34" s="54" t="s">
        <v>234</v>
      </c>
      <c r="C34" s="51">
        <v>1</v>
      </c>
      <c r="E34" t="s">
        <v>55</v>
      </c>
      <c r="F34">
        <v>9</v>
      </c>
    </row>
    <row r="35" spans="1:6" x14ac:dyDescent="0.2">
      <c r="A35" s="48"/>
      <c r="B35" s="54" t="s">
        <v>235</v>
      </c>
      <c r="C35" s="51">
        <v>3</v>
      </c>
      <c r="E35" t="s">
        <v>95</v>
      </c>
      <c r="F35">
        <v>1</v>
      </c>
    </row>
    <row r="36" spans="1:6" x14ac:dyDescent="0.2">
      <c r="A36" s="48"/>
      <c r="B36" s="59" t="s">
        <v>218</v>
      </c>
      <c r="C36" s="51">
        <v>5</v>
      </c>
      <c r="E36" t="s">
        <v>97</v>
      </c>
      <c r="F36">
        <v>1</v>
      </c>
    </row>
    <row r="37" spans="1:6" x14ac:dyDescent="0.2">
      <c r="A37" s="48"/>
      <c r="B37" s="54" t="s">
        <v>236</v>
      </c>
      <c r="C37" s="51">
        <v>7</v>
      </c>
    </row>
    <row r="38" spans="1:6" x14ac:dyDescent="0.2">
      <c r="A38" s="48"/>
      <c r="B38" s="54" t="s">
        <v>237</v>
      </c>
      <c r="C38" s="51">
        <v>2</v>
      </c>
    </row>
    <row r="39" spans="1:6" x14ac:dyDescent="0.2">
      <c r="A39" s="48"/>
      <c r="B39" s="54" t="s">
        <v>238</v>
      </c>
      <c r="C39" s="51">
        <v>6</v>
      </c>
    </row>
    <row r="40" spans="1:6" x14ac:dyDescent="0.2">
      <c r="A40" s="48"/>
      <c r="B40" s="54" t="s">
        <v>239</v>
      </c>
      <c r="C40" s="51">
        <v>13</v>
      </c>
    </row>
    <row r="41" spans="1:6" x14ac:dyDescent="0.2">
      <c r="A41" s="48"/>
      <c r="B41" s="54" t="s">
        <v>240</v>
      </c>
      <c r="C41" s="51">
        <v>1</v>
      </c>
    </row>
    <row r="42" spans="1:6" x14ac:dyDescent="0.2">
      <c r="A42" s="48"/>
      <c r="B42" s="59" t="s">
        <v>241</v>
      </c>
      <c r="C42" s="51">
        <v>2</v>
      </c>
    </row>
    <row r="43" spans="1:6" x14ac:dyDescent="0.2">
      <c r="A43" s="48"/>
      <c r="B43" s="54" t="s">
        <v>242</v>
      </c>
      <c r="C43" s="51">
        <v>4</v>
      </c>
    </row>
    <row r="44" spans="1:6" x14ac:dyDescent="0.2">
      <c r="A44" s="48"/>
      <c r="B44" s="54" t="s">
        <v>243</v>
      </c>
      <c r="C44" s="51">
        <v>3</v>
      </c>
    </row>
    <row r="45" spans="1:6" x14ac:dyDescent="0.2">
      <c r="A45" s="48"/>
      <c r="B45" s="54" t="s">
        <v>244</v>
      </c>
      <c r="C45" s="51">
        <v>3</v>
      </c>
    </row>
    <row r="46" spans="1:6" x14ac:dyDescent="0.2">
      <c r="A46" s="48"/>
      <c r="B46" s="54" t="s">
        <v>245</v>
      </c>
      <c r="C46" s="51">
        <v>5</v>
      </c>
    </row>
    <row r="47" spans="1:6" x14ac:dyDescent="0.2">
      <c r="A47" s="48"/>
      <c r="B47" s="54" t="s">
        <v>246</v>
      </c>
      <c r="C47" s="51">
        <v>5</v>
      </c>
    </row>
    <row r="48" spans="1:6" x14ac:dyDescent="0.2">
      <c r="A48" s="48"/>
      <c r="B48" s="54" t="s">
        <v>247</v>
      </c>
      <c r="C48" s="51">
        <v>1</v>
      </c>
    </row>
    <row r="49" spans="1:3" x14ac:dyDescent="0.2">
      <c r="A49" s="48"/>
      <c r="B49" s="54" t="s">
        <v>106</v>
      </c>
      <c r="C49" s="51">
        <v>1</v>
      </c>
    </row>
    <row r="50" spans="1:3" x14ac:dyDescent="0.2">
      <c r="A50" s="48"/>
      <c r="B50" s="54" t="s">
        <v>248</v>
      </c>
      <c r="C50" s="51">
        <v>7</v>
      </c>
    </row>
    <row r="51" spans="1:3" x14ac:dyDescent="0.2">
      <c r="A51" s="48"/>
      <c r="B51" s="54" t="s">
        <v>108</v>
      </c>
      <c r="C51" s="51">
        <v>1</v>
      </c>
    </row>
    <row r="52" spans="1:3" x14ac:dyDescent="0.2">
      <c r="A52" s="48"/>
      <c r="B52" s="54" t="s">
        <v>112</v>
      </c>
      <c r="C52" s="51">
        <v>5</v>
      </c>
    </row>
    <row r="53" spans="1:3" x14ac:dyDescent="0.2">
      <c r="A53" s="48"/>
      <c r="B53" s="54" t="s">
        <v>249</v>
      </c>
      <c r="C53" s="51">
        <v>4</v>
      </c>
    </row>
    <row r="54" spans="1:3" x14ac:dyDescent="0.2">
      <c r="A54" s="48"/>
      <c r="B54" s="54" t="s">
        <v>113</v>
      </c>
      <c r="C54" s="51">
        <v>4</v>
      </c>
    </row>
    <row r="55" spans="1:3" x14ac:dyDescent="0.2">
      <c r="A55" s="48"/>
      <c r="B55" s="54" t="s">
        <v>250</v>
      </c>
      <c r="C55" s="51">
        <v>1</v>
      </c>
    </row>
    <row r="56" spans="1:3" x14ac:dyDescent="0.2">
      <c r="A56" s="48"/>
      <c r="B56" s="54" t="s">
        <v>251</v>
      </c>
      <c r="C56" s="51">
        <v>2</v>
      </c>
    </row>
    <row r="57" spans="1:3" x14ac:dyDescent="0.2">
      <c r="A57" s="48"/>
      <c r="B57" s="54" t="s">
        <v>252</v>
      </c>
      <c r="C57" s="51">
        <v>4</v>
      </c>
    </row>
    <row r="58" spans="1:3" x14ac:dyDescent="0.2">
      <c r="A58" s="48"/>
      <c r="B58" s="54" t="s">
        <v>253</v>
      </c>
      <c r="C58" s="52">
        <v>3</v>
      </c>
    </row>
    <row r="59" spans="1:3" x14ac:dyDescent="0.2">
      <c r="A59" s="48"/>
      <c r="B59" s="54" t="s">
        <v>254</v>
      </c>
      <c r="C59" s="52">
        <v>4</v>
      </c>
    </row>
    <row r="60" spans="1:3" x14ac:dyDescent="0.2">
      <c r="B60" s="59" t="s">
        <v>255</v>
      </c>
      <c r="C60" s="52">
        <v>3</v>
      </c>
    </row>
    <row r="61" spans="1:3" x14ac:dyDescent="0.2">
      <c r="B61" s="54" t="s">
        <v>162</v>
      </c>
      <c r="C61" s="68">
        <v>2</v>
      </c>
    </row>
    <row r="62" spans="1:3" x14ac:dyDescent="0.2">
      <c r="B62" s="54" t="s">
        <v>163</v>
      </c>
      <c r="C62" s="68">
        <v>3</v>
      </c>
    </row>
    <row r="63" spans="1:3" x14ac:dyDescent="0.2">
      <c r="B63" s="54" t="s">
        <v>256</v>
      </c>
      <c r="C63" s="68">
        <v>1</v>
      </c>
    </row>
    <row r="64" spans="1:3" x14ac:dyDescent="0.2">
      <c r="B64" s="54" t="s">
        <v>164</v>
      </c>
      <c r="C64" s="68">
        <v>7</v>
      </c>
    </row>
    <row r="65" spans="2:3" x14ac:dyDescent="0.2">
      <c r="B65" s="54" t="s">
        <v>257</v>
      </c>
      <c r="C65" s="68">
        <v>1</v>
      </c>
    </row>
    <row r="66" spans="2:3" x14ac:dyDescent="0.2">
      <c r="B66" s="54" t="s">
        <v>165</v>
      </c>
      <c r="C66" s="68">
        <v>22</v>
      </c>
    </row>
    <row r="67" spans="2:3" x14ac:dyDescent="0.2">
      <c r="B67" s="54" t="s">
        <v>166</v>
      </c>
      <c r="C67" s="68">
        <v>36</v>
      </c>
    </row>
    <row r="68" spans="2:3" x14ac:dyDescent="0.2">
      <c r="B68" s="54" t="s">
        <v>167</v>
      </c>
      <c r="C68" s="68">
        <v>18</v>
      </c>
    </row>
    <row r="69" spans="2:3" x14ac:dyDescent="0.2">
      <c r="B69" s="54" t="s">
        <v>207</v>
      </c>
      <c r="C69" s="68">
        <v>7</v>
      </c>
    </row>
    <row r="70" spans="2:3" x14ac:dyDescent="0.2">
      <c r="B70" s="54" t="s">
        <v>199</v>
      </c>
      <c r="C70" s="68">
        <v>4</v>
      </c>
    </row>
    <row r="71" spans="2:3" x14ac:dyDescent="0.2">
      <c r="B71" s="54" t="s">
        <v>204</v>
      </c>
      <c r="C71" s="68">
        <v>5</v>
      </c>
    </row>
    <row r="72" spans="2:3" x14ac:dyDescent="0.2">
      <c r="B72" s="60" t="s">
        <v>170</v>
      </c>
      <c r="C72" s="68">
        <v>5</v>
      </c>
    </row>
    <row r="73" spans="2:3" x14ac:dyDescent="0.2">
      <c r="B73" s="60" t="s">
        <v>171</v>
      </c>
      <c r="C73" s="68">
        <v>18</v>
      </c>
    </row>
    <row r="74" spans="2:3" x14ac:dyDescent="0.2">
      <c r="B74" s="60" t="s">
        <v>172</v>
      </c>
      <c r="C74" s="68">
        <v>27</v>
      </c>
    </row>
    <row r="75" spans="2:3" x14ac:dyDescent="0.2">
      <c r="B75" s="60" t="s">
        <v>210</v>
      </c>
      <c r="C75" s="68">
        <v>35</v>
      </c>
    </row>
    <row r="76" spans="2:3" x14ac:dyDescent="0.2">
      <c r="B76" s="60" t="s">
        <v>205</v>
      </c>
      <c r="C76" s="68">
        <v>13</v>
      </c>
    </row>
    <row r="77" spans="2:3" x14ac:dyDescent="0.2">
      <c r="B77" s="54" t="s">
        <v>168</v>
      </c>
      <c r="C77" s="68">
        <v>14</v>
      </c>
    </row>
    <row r="78" spans="2:3" x14ac:dyDescent="0.2">
      <c r="B78" s="54" t="s">
        <v>259</v>
      </c>
      <c r="C78" s="68">
        <v>2</v>
      </c>
    </row>
    <row r="79" spans="2:3" x14ac:dyDescent="0.2">
      <c r="B79" s="54" t="s">
        <v>106</v>
      </c>
      <c r="C79" s="68">
        <v>1</v>
      </c>
    </row>
    <row r="80" spans="2:3" x14ac:dyDescent="0.2">
      <c r="B80" s="54" t="s">
        <v>173</v>
      </c>
      <c r="C80" s="68">
        <v>2</v>
      </c>
    </row>
    <row r="81" spans="2:3" x14ac:dyDescent="0.2">
      <c r="B81" s="58" t="s">
        <v>174</v>
      </c>
      <c r="C81" s="68">
        <v>243</v>
      </c>
    </row>
    <row r="82" spans="2:3" x14ac:dyDescent="0.2">
      <c r="B82" s="59" t="s">
        <v>175</v>
      </c>
      <c r="C82" s="68">
        <v>48</v>
      </c>
    </row>
    <row r="83" spans="2:3" x14ac:dyDescent="0.2">
      <c r="B83" s="59" t="s">
        <v>176</v>
      </c>
      <c r="C83" s="68">
        <v>10</v>
      </c>
    </row>
    <row r="84" spans="2:3" x14ac:dyDescent="0.2">
      <c r="B84" s="59" t="s">
        <v>177</v>
      </c>
      <c r="C84" s="68">
        <v>18</v>
      </c>
    </row>
    <row r="85" spans="2:3" x14ac:dyDescent="0.2">
      <c r="B85" s="59" t="s">
        <v>178</v>
      </c>
      <c r="C85" s="68">
        <v>6</v>
      </c>
    </row>
    <row r="86" spans="2:3" x14ac:dyDescent="0.2">
      <c r="B86" s="59" t="s">
        <v>179</v>
      </c>
      <c r="C86" s="68">
        <v>8</v>
      </c>
    </row>
    <row r="87" spans="2:3" x14ac:dyDescent="0.2">
      <c r="B87" s="59" t="s">
        <v>180</v>
      </c>
      <c r="C87" s="68">
        <v>6</v>
      </c>
    </row>
    <row r="88" spans="2:3" x14ac:dyDescent="0.2">
      <c r="B88" s="59" t="s">
        <v>181</v>
      </c>
      <c r="C88" s="68">
        <v>18</v>
      </c>
    </row>
    <row r="89" spans="2:3" x14ac:dyDescent="0.2">
      <c r="B89" s="59" t="s">
        <v>182</v>
      </c>
      <c r="C89" s="68">
        <v>31</v>
      </c>
    </row>
    <row r="90" spans="2:3" x14ac:dyDescent="0.2">
      <c r="B90" s="59" t="s">
        <v>183</v>
      </c>
      <c r="C90" s="68">
        <v>20</v>
      </c>
    </row>
    <row r="91" spans="2:3" x14ac:dyDescent="0.2">
      <c r="B91" s="59" t="s">
        <v>184</v>
      </c>
      <c r="C91" s="68">
        <v>18</v>
      </c>
    </row>
    <row r="92" spans="2:3" x14ac:dyDescent="0.2">
      <c r="B92" s="59" t="s">
        <v>185</v>
      </c>
      <c r="C92" s="68">
        <v>9</v>
      </c>
    </row>
    <row r="93" spans="2:3" x14ac:dyDescent="0.2">
      <c r="B93" s="59" t="s">
        <v>186</v>
      </c>
      <c r="C93" s="68">
        <v>4</v>
      </c>
    </row>
    <row r="94" spans="2:3" x14ac:dyDescent="0.2">
      <c r="B94" s="59" t="s">
        <v>187</v>
      </c>
      <c r="C94" s="68">
        <v>9</v>
      </c>
    </row>
    <row r="95" spans="2:3" x14ac:dyDescent="0.2">
      <c r="B95" s="59" t="s">
        <v>188</v>
      </c>
      <c r="C95" s="68">
        <v>27</v>
      </c>
    </row>
    <row r="96" spans="2:3" x14ac:dyDescent="0.2">
      <c r="B96" s="59" t="s">
        <v>189</v>
      </c>
      <c r="C96" s="68">
        <v>8</v>
      </c>
    </row>
    <row r="97" spans="2:3" x14ac:dyDescent="0.2">
      <c r="B97" s="59" t="s">
        <v>190</v>
      </c>
      <c r="C97" s="68">
        <v>5</v>
      </c>
    </row>
    <row r="98" spans="2:3" ht="17" customHeight="1" x14ac:dyDescent="0.2">
      <c r="B98" s="54" t="s">
        <v>191</v>
      </c>
      <c r="C98" s="68">
        <v>4</v>
      </c>
    </row>
    <row r="99" spans="2:3" x14ac:dyDescent="0.2">
      <c r="B99" s="54" t="s">
        <v>192</v>
      </c>
      <c r="C99" s="68">
        <v>29</v>
      </c>
    </row>
    <row r="100" spans="2:3" x14ac:dyDescent="0.2">
      <c r="B100" s="58" t="s">
        <v>193</v>
      </c>
      <c r="C100" s="68">
        <v>38</v>
      </c>
    </row>
    <row r="101" spans="2:3" x14ac:dyDescent="0.2">
      <c r="B101" s="72" t="s">
        <v>268</v>
      </c>
      <c r="C101" s="68">
        <v>3</v>
      </c>
    </row>
    <row r="102" spans="2:3" x14ac:dyDescent="0.2">
      <c r="B102" s="72" t="s">
        <v>264</v>
      </c>
      <c r="C102" s="68">
        <v>0</v>
      </c>
    </row>
    <row r="103" spans="2:3" x14ac:dyDescent="0.2">
      <c r="B103" s="72" t="s">
        <v>265</v>
      </c>
      <c r="C103" s="68">
        <v>0</v>
      </c>
    </row>
    <row r="104" spans="2:3" x14ac:dyDescent="0.2">
      <c r="B104" s="72" t="s">
        <v>266</v>
      </c>
      <c r="C104" s="68">
        <v>1</v>
      </c>
    </row>
    <row r="105" spans="2:3" x14ac:dyDescent="0.2">
      <c r="B105" s="72" t="s">
        <v>267</v>
      </c>
      <c r="C105" s="68">
        <v>6</v>
      </c>
    </row>
    <row r="106" spans="2:3" x14ac:dyDescent="0.2">
      <c r="B106" s="58"/>
    </row>
    <row r="107" spans="2:3" x14ac:dyDescent="0.2">
      <c r="B107" s="61" t="s">
        <v>261</v>
      </c>
      <c r="C107" s="62">
        <f>ROWS(B10:B105)</f>
        <v>96</v>
      </c>
    </row>
    <row r="108" spans="2:3" x14ac:dyDescent="0.2">
      <c r="B108" s="49" t="s">
        <v>194</v>
      </c>
      <c r="C108" s="53">
        <f>SUM(C10:C105)</f>
        <v>1086</v>
      </c>
    </row>
    <row r="110" spans="2:3" x14ac:dyDescent="0.2">
      <c r="B110" s="39" t="s">
        <v>195</v>
      </c>
      <c r="C110" s="69" t="s">
        <v>42</v>
      </c>
    </row>
    <row r="111" spans="2:3" x14ac:dyDescent="0.2">
      <c r="B111" t="s">
        <v>258</v>
      </c>
      <c r="C111" s="68">
        <v>7</v>
      </c>
    </row>
    <row r="112" spans="2:3" x14ac:dyDescent="0.2">
      <c r="B112" t="s">
        <v>161</v>
      </c>
      <c r="C112" s="68">
        <v>13</v>
      </c>
    </row>
    <row r="114" spans="2:3" x14ac:dyDescent="0.2">
      <c r="B114" s="46" t="s">
        <v>262</v>
      </c>
      <c r="C114" s="68">
        <v>2</v>
      </c>
    </row>
    <row r="115" spans="2:3" x14ac:dyDescent="0.2">
      <c r="B115" s="42" t="s">
        <v>63</v>
      </c>
      <c r="C115" s="70">
        <f>SUM(C111:C112)</f>
        <v>20</v>
      </c>
    </row>
    <row r="117" spans="2:3" x14ac:dyDescent="0.2">
      <c r="B117" s="39" t="s">
        <v>196</v>
      </c>
      <c r="C117" s="69" t="s">
        <v>42</v>
      </c>
    </row>
    <row r="119" spans="2:3" x14ac:dyDescent="0.2">
      <c r="B119" t="s">
        <v>165</v>
      </c>
      <c r="C119" s="68">
        <v>18</v>
      </c>
    </row>
    <row r="120" spans="2:3" ht="18" customHeight="1" x14ac:dyDescent="0.2">
      <c r="B120" t="s">
        <v>166</v>
      </c>
      <c r="C120" s="68">
        <v>36</v>
      </c>
    </row>
    <row r="121" spans="2:3" x14ac:dyDescent="0.2">
      <c r="B121" t="s">
        <v>167</v>
      </c>
      <c r="C121" s="68">
        <v>33</v>
      </c>
    </row>
    <row r="122" spans="2:3" x14ac:dyDescent="0.2">
      <c r="B122" t="s">
        <v>197</v>
      </c>
      <c r="C122" s="68">
        <v>4</v>
      </c>
    </row>
    <row r="123" spans="2:3" ht="34" x14ac:dyDescent="0.2">
      <c r="B123" s="28" t="s">
        <v>198</v>
      </c>
      <c r="C123" s="68">
        <v>4</v>
      </c>
    </row>
    <row r="124" spans="2:3" ht="18" customHeight="1" x14ac:dyDescent="0.2">
      <c r="B124" t="s">
        <v>199</v>
      </c>
      <c r="C124" s="68">
        <v>4</v>
      </c>
    </row>
    <row r="125" spans="2:3" ht="34" x14ac:dyDescent="0.2">
      <c r="B125" s="28" t="s">
        <v>200</v>
      </c>
      <c r="C125" s="68">
        <v>12</v>
      </c>
    </row>
    <row r="126" spans="2:3" ht="24" customHeight="1" x14ac:dyDescent="0.2">
      <c r="B126" s="28" t="s">
        <v>201</v>
      </c>
      <c r="C126" s="68">
        <v>16</v>
      </c>
    </row>
    <row r="127" spans="2:3" x14ac:dyDescent="0.2">
      <c r="B127" t="s">
        <v>156</v>
      </c>
      <c r="C127" s="68">
        <v>7</v>
      </c>
    </row>
    <row r="128" spans="2:3" x14ac:dyDescent="0.2">
      <c r="B128" t="s">
        <v>170</v>
      </c>
      <c r="C128" s="68">
        <v>5</v>
      </c>
    </row>
    <row r="129" spans="2:4" ht="34" x14ac:dyDescent="0.2">
      <c r="B129" s="28" t="s">
        <v>202</v>
      </c>
      <c r="C129" s="68">
        <v>1</v>
      </c>
    </row>
    <row r="130" spans="2:4" ht="17" x14ac:dyDescent="0.2">
      <c r="B130" s="28" t="s">
        <v>108</v>
      </c>
      <c r="C130" s="68">
        <v>1</v>
      </c>
    </row>
    <row r="132" spans="2:4" x14ac:dyDescent="0.2">
      <c r="B132" s="46" t="s">
        <v>262</v>
      </c>
      <c r="C132" s="70">
        <f>ROWS(B119:B130)</f>
        <v>12</v>
      </c>
    </row>
    <row r="133" spans="2:4" x14ac:dyDescent="0.2">
      <c r="B133" s="46" t="s">
        <v>115</v>
      </c>
      <c r="C133" s="70">
        <f>SUM(C118:C130)</f>
        <v>141</v>
      </c>
    </row>
    <row r="135" spans="2:4" x14ac:dyDescent="0.2">
      <c r="B135" s="39" t="s">
        <v>203</v>
      </c>
      <c r="C135" s="69" t="s">
        <v>42</v>
      </c>
    </row>
    <row r="136" spans="2:4" x14ac:dyDescent="0.2">
      <c r="B136" s="39"/>
      <c r="C136" s="69"/>
    </row>
    <row r="137" spans="2:4" x14ac:dyDescent="0.2">
      <c r="B137" s="59" t="s">
        <v>168</v>
      </c>
      <c r="C137" s="68">
        <v>14</v>
      </c>
    </row>
    <row r="138" spans="2:4" x14ac:dyDescent="0.2">
      <c r="B138" s="54" t="s">
        <v>190</v>
      </c>
      <c r="C138" s="68">
        <v>5</v>
      </c>
    </row>
    <row r="139" spans="2:4" ht="25" customHeight="1" x14ac:dyDescent="0.2">
      <c r="B139" s="54" t="s">
        <v>191</v>
      </c>
      <c r="C139" s="68">
        <v>4</v>
      </c>
    </row>
    <row r="140" spans="2:4" ht="17" customHeight="1" x14ac:dyDescent="0.2">
      <c r="B140" s="54" t="s">
        <v>193</v>
      </c>
      <c r="C140" s="68">
        <v>38</v>
      </c>
    </row>
    <row r="141" spans="2:4" ht="20" customHeight="1" x14ac:dyDescent="0.2">
      <c r="B141" s="54" t="s">
        <v>162</v>
      </c>
      <c r="C141" s="68">
        <v>2</v>
      </c>
    </row>
    <row r="142" spans="2:4" x14ac:dyDescent="0.2">
      <c r="B142" s="59" t="s">
        <v>164</v>
      </c>
      <c r="C142" s="68">
        <v>46</v>
      </c>
      <c r="D142">
        <v>7</v>
      </c>
    </row>
    <row r="143" spans="2:4" ht="19" customHeight="1" x14ac:dyDescent="0.2">
      <c r="B143" s="59" t="s">
        <v>165</v>
      </c>
      <c r="C143" s="68">
        <v>22</v>
      </c>
    </row>
    <row r="144" spans="2:4" x14ac:dyDescent="0.2">
      <c r="B144" s="59" t="s">
        <v>166</v>
      </c>
      <c r="C144" s="68">
        <v>36</v>
      </c>
    </row>
    <row r="145" spans="2:3" x14ac:dyDescent="0.2">
      <c r="B145" s="59" t="s">
        <v>197</v>
      </c>
      <c r="C145" s="68">
        <v>3</v>
      </c>
    </row>
    <row r="146" spans="2:3" ht="21" customHeight="1" x14ac:dyDescent="0.2">
      <c r="B146" s="59" t="s">
        <v>207</v>
      </c>
      <c r="C146" s="68">
        <v>7</v>
      </c>
    </row>
    <row r="147" spans="2:3" ht="15" customHeight="1" x14ac:dyDescent="0.2">
      <c r="B147" s="59" t="s">
        <v>199</v>
      </c>
      <c r="C147" s="68">
        <v>4</v>
      </c>
    </row>
    <row r="148" spans="2:3" x14ac:dyDescent="0.2">
      <c r="B148" s="59" t="s">
        <v>204</v>
      </c>
      <c r="C148" s="68">
        <v>5</v>
      </c>
    </row>
    <row r="149" spans="2:3" x14ac:dyDescent="0.2">
      <c r="B149" s="59" t="s">
        <v>48</v>
      </c>
      <c r="C149" s="68">
        <v>19</v>
      </c>
    </row>
    <row r="150" spans="2:3" x14ac:dyDescent="0.2">
      <c r="B150" s="59" t="s">
        <v>168</v>
      </c>
      <c r="C150" s="68">
        <v>46</v>
      </c>
    </row>
    <row r="151" spans="2:3" x14ac:dyDescent="0.2">
      <c r="B151" s="59" t="s">
        <v>169</v>
      </c>
      <c r="C151" s="68">
        <v>1</v>
      </c>
    </row>
    <row r="152" spans="2:3" x14ac:dyDescent="0.2">
      <c r="B152" s="59" t="s">
        <v>156</v>
      </c>
      <c r="C152" s="68">
        <v>7</v>
      </c>
    </row>
    <row r="153" spans="2:3" x14ac:dyDescent="0.2">
      <c r="B153" s="59" t="s">
        <v>170</v>
      </c>
      <c r="C153" s="68">
        <v>5</v>
      </c>
    </row>
    <row r="154" spans="2:3" x14ac:dyDescent="0.2">
      <c r="B154" s="59" t="s">
        <v>172</v>
      </c>
      <c r="C154" s="68">
        <v>27</v>
      </c>
    </row>
    <row r="155" spans="2:3" x14ac:dyDescent="0.2">
      <c r="B155" s="59" t="s">
        <v>205</v>
      </c>
      <c r="C155" s="68">
        <v>13</v>
      </c>
    </row>
    <row r="156" spans="2:3" ht="21" customHeight="1" x14ac:dyDescent="0.2">
      <c r="B156" s="59" t="s">
        <v>106</v>
      </c>
      <c r="C156" s="68">
        <v>1</v>
      </c>
    </row>
    <row r="157" spans="2:3" x14ac:dyDescent="0.2">
      <c r="B157" s="59" t="s">
        <v>174</v>
      </c>
      <c r="C157" s="68">
        <v>243</v>
      </c>
    </row>
    <row r="158" spans="2:3" x14ac:dyDescent="0.2">
      <c r="B158" s="59" t="s">
        <v>175</v>
      </c>
      <c r="C158" s="68">
        <v>48</v>
      </c>
    </row>
    <row r="159" spans="2:3" x14ac:dyDescent="0.2">
      <c r="B159" s="59" t="s">
        <v>176</v>
      </c>
      <c r="C159" s="68">
        <v>10</v>
      </c>
    </row>
    <row r="160" spans="2:3" x14ac:dyDescent="0.2">
      <c r="B160" s="59" t="s">
        <v>177</v>
      </c>
      <c r="C160" s="68">
        <v>18</v>
      </c>
    </row>
    <row r="161" spans="2:3" x14ac:dyDescent="0.2">
      <c r="B161" s="59" t="s">
        <v>178</v>
      </c>
      <c r="C161" s="68">
        <v>6</v>
      </c>
    </row>
    <row r="162" spans="2:3" ht="17" customHeight="1" x14ac:dyDescent="0.2">
      <c r="B162" s="59" t="s">
        <v>179</v>
      </c>
      <c r="C162" s="68">
        <v>8</v>
      </c>
    </row>
    <row r="163" spans="2:3" ht="17" customHeight="1" x14ac:dyDescent="0.2">
      <c r="B163" s="59" t="s">
        <v>180</v>
      </c>
      <c r="C163" s="68">
        <v>6</v>
      </c>
    </row>
    <row r="164" spans="2:3" ht="17" customHeight="1" x14ac:dyDescent="0.2">
      <c r="B164" s="59" t="s">
        <v>181</v>
      </c>
      <c r="C164" s="68">
        <v>18</v>
      </c>
    </row>
    <row r="165" spans="2:3" x14ac:dyDescent="0.2">
      <c r="B165" s="59" t="s">
        <v>182</v>
      </c>
      <c r="C165" s="68">
        <v>31</v>
      </c>
    </row>
    <row r="166" spans="2:3" ht="15" customHeight="1" x14ac:dyDescent="0.2">
      <c r="B166" s="59" t="s">
        <v>183</v>
      </c>
      <c r="C166" s="68">
        <v>20</v>
      </c>
    </row>
    <row r="167" spans="2:3" x14ac:dyDescent="0.2">
      <c r="B167" s="59" t="s">
        <v>184</v>
      </c>
      <c r="C167" s="68">
        <v>18</v>
      </c>
    </row>
    <row r="168" spans="2:3" x14ac:dyDescent="0.2">
      <c r="B168" s="59" t="s">
        <v>185</v>
      </c>
      <c r="C168" s="68">
        <v>9</v>
      </c>
    </row>
    <row r="169" spans="2:3" x14ac:dyDescent="0.2">
      <c r="B169" s="59" t="s">
        <v>186</v>
      </c>
      <c r="C169" s="68">
        <v>4</v>
      </c>
    </row>
    <row r="170" spans="2:3" x14ac:dyDescent="0.2">
      <c r="B170" s="59" t="s">
        <v>187</v>
      </c>
      <c r="C170" s="68">
        <v>9</v>
      </c>
    </row>
    <row r="171" spans="2:3" x14ac:dyDescent="0.2">
      <c r="B171" s="59" t="s">
        <v>188</v>
      </c>
      <c r="C171" s="68">
        <v>27</v>
      </c>
    </row>
    <row r="172" spans="2:3" x14ac:dyDescent="0.2">
      <c r="B172" s="59" t="s">
        <v>189</v>
      </c>
      <c r="C172" s="68">
        <v>8</v>
      </c>
    </row>
    <row r="174" spans="2:3" x14ac:dyDescent="0.2">
      <c r="B174" s="63" t="s">
        <v>262</v>
      </c>
      <c r="C174" s="70">
        <f>ROWS(B137:B172)</f>
        <v>36</v>
      </c>
    </row>
    <row r="175" spans="2:3" x14ac:dyDescent="0.2">
      <c r="B175" s="46" t="s">
        <v>115</v>
      </c>
      <c r="C175" s="70">
        <f>SUM(C137:C172)</f>
        <v>788</v>
      </c>
    </row>
    <row r="177" spans="2:3" x14ac:dyDescent="0.2">
      <c r="B177" s="39" t="s">
        <v>206</v>
      </c>
      <c r="C177" s="69" t="s">
        <v>42</v>
      </c>
    </row>
    <row r="178" spans="2:3" x14ac:dyDescent="0.2">
      <c r="B178" t="s">
        <v>167</v>
      </c>
      <c r="C178" s="68">
        <v>33</v>
      </c>
    </row>
    <row r="179" spans="2:3" ht="34" x14ac:dyDescent="0.2">
      <c r="B179" s="28" t="s">
        <v>212</v>
      </c>
      <c r="C179" s="68">
        <v>19</v>
      </c>
    </row>
    <row r="180" spans="2:3" ht="17" x14ac:dyDescent="0.2">
      <c r="B180" s="28" t="s">
        <v>166</v>
      </c>
      <c r="C180" s="68">
        <v>36</v>
      </c>
    </row>
    <row r="181" spans="2:3" ht="17" x14ac:dyDescent="0.2">
      <c r="B181" s="28" t="s">
        <v>197</v>
      </c>
      <c r="C181" s="68">
        <v>4</v>
      </c>
    </row>
    <row r="182" spans="2:3" x14ac:dyDescent="0.2">
      <c r="B182" t="s">
        <v>207</v>
      </c>
      <c r="C182" s="68">
        <v>4</v>
      </c>
    </row>
    <row r="183" spans="2:3" x14ac:dyDescent="0.2">
      <c r="B183" t="s">
        <v>199</v>
      </c>
      <c r="C183" s="68">
        <v>4</v>
      </c>
    </row>
    <row r="184" spans="2:3" ht="34" x14ac:dyDescent="0.2">
      <c r="B184" s="28" t="s">
        <v>200</v>
      </c>
      <c r="C184" s="68">
        <v>12</v>
      </c>
    </row>
    <row r="185" spans="2:3" ht="34" x14ac:dyDescent="0.2">
      <c r="B185" s="71" t="s">
        <v>201</v>
      </c>
      <c r="C185" s="68">
        <v>16</v>
      </c>
    </row>
    <row r="186" spans="2:3" ht="34" x14ac:dyDescent="0.2">
      <c r="B186" s="28" t="s">
        <v>208</v>
      </c>
      <c r="C186" s="68">
        <v>7</v>
      </c>
    </row>
    <row r="187" spans="2:3" ht="34" x14ac:dyDescent="0.2">
      <c r="B187" s="28" t="s">
        <v>209</v>
      </c>
      <c r="C187" s="68">
        <v>5</v>
      </c>
    </row>
    <row r="188" spans="2:3" ht="17" x14ac:dyDescent="0.2">
      <c r="B188" s="28" t="s">
        <v>172</v>
      </c>
      <c r="C188" s="68">
        <v>27</v>
      </c>
    </row>
    <row r="189" spans="2:3" ht="17" x14ac:dyDescent="0.2">
      <c r="B189" s="28" t="s">
        <v>210</v>
      </c>
      <c r="C189" s="68">
        <v>35</v>
      </c>
    </row>
    <row r="190" spans="2:3" ht="17" x14ac:dyDescent="0.2">
      <c r="B190" s="28" t="s">
        <v>106</v>
      </c>
      <c r="C190" s="68">
        <v>1</v>
      </c>
    </row>
    <row r="191" spans="2:3" ht="34" x14ac:dyDescent="0.2">
      <c r="B191" s="28" t="s">
        <v>211</v>
      </c>
      <c r="C191" s="68">
        <v>1</v>
      </c>
    </row>
    <row r="193" spans="2:3" x14ac:dyDescent="0.2">
      <c r="B193" s="46" t="s">
        <v>262</v>
      </c>
      <c r="C193" s="70">
        <f>ROWS(B178:B191)</f>
        <v>14</v>
      </c>
    </row>
    <row r="194" spans="2:3" x14ac:dyDescent="0.2">
      <c r="B194" s="46" t="s">
        <v>115</v>
      </c>
      <c r="C194" s="70">
        <f>SUM(C178:C191)</f>
        <v>204</v>
      </c>
    </row>
  </sheetData>
  <autoFilter ref="A9:F9" xr:uid="{505F11A9-9954-8E43-A343-06D6FDE08213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D369-D45B-CF4A-B4BF-7BA9B6BA98BB}">
  <dimension ref="B1:F27"/>
  <sheetViews>
    <sheetView workbookViewId="0">
      <selection activeCell="C7" sqref="C7"/>
    </sheetView>
  </sheetViews>
  <sheetFormatPr baseColWidth="10" defaultRowHeight="16" x14ac:dyDescent="0.2"/>
  <cols>
    <col min="2" max="2" width="35.7109375" customWidth="1"/>
    <col min="3" max="3" width="13.28515625" customWidth="1"/>
    <col min="5" max="5" width="22.42578125" customWidth="1"/>
  </cols>
  <sheetData>
    <row r="1" spans="2:6" x14ac:dyDescent="0.2">
      <c r="B1" s="10" t="s">
        <v>20</v>
      </c>
      <c r="C1" s="10"/>
    </row>
    <row r="2" spans="2:6" x14ac:dyDescent="0.2">
      <c r="B2" s="10" t="s">
        <v>21</v>
      </c>
      <c r="C2" s="10"/>
    </row>
    <row r="3" spans="2:6" x14ac:dyDescent="0.2">
      <c r="B3" s="10"/>
      <c r="C3" s="10"/>
    </row>
    <row r="4" spans="2:6" x14ac:dyDescent="0.2">
      <c r="B4" s="20" t="s">
        <v>90</v>
      </c>
      <c r="C4" s="21">
        <f>SUM(F10:F11)</f>
        <v>9</v>
      </c>
    </row>
    <row r="5" spans="2:6" x14ac:dyDescent="0.2">
      <c r="B5" s="20" t="s">
        <v>38</v>
      </c>
      <c r="C5" s="21">
        <f>(ROWS(C10:C21)*F10)+(ROWS(C25:C26)*F11)</f>
        <v>98</v>
      </c>
    </row>
    <row r="6" spans="2:6" x14ac:dyDescent="0.2">
      <c r="B6" s="20" t="s">
        <v>49</v>
      </c>
      <c r="C6" s="21">
        <f xml:space="preserve"> (F10*SUM(C10:C21))+(F11*SUM(C25:C26))</f>
        <v>636</v>
      </c>
    </row>
    <row r="7" spans="2:6" x14ac:dyDescent="0.2">
      <c r="B7" s="20" t="s">
        <v>91</v>
      </c>
      <c r="C7" s="38">
        <f>((F10*SUM(C10:C21))/F15)+((F11*SUM(C25:C26))/F16)</f>
        <v>2.12</v>
      </c>
    </row>
    <row r="9" spans="2:6" x14ac:dyDescent="0.2">
      <c r="B9" s="11" t="s">
        <v>154</v>
      </c>
      <c r="C9" s="47" t="s">
        <v>42</v>
      </c>
      <c r="E9" s="39" t="s">
        <v>93</v>
      </c>
      <c r="F9" s="39" t="s">
        <v>94</v>
      </c>
    </row>
    <row r="10" spans="2:6" x14ac:dyDescent="0.2">
      <c r="B10" s="12" t="s">
        <v>48</v>
      </c>
      <c r="C10" s="12">
        <v>20</v>
      </c>
      <c r="E10" t="s">
        <v>157</v>
      </c>
      <c r="F10" s="40">
        <v>8</v>
      </c>
    </row>
    <row r="11" spans="2:6" x14ac:dyDescent="0.2">
      <c r="B11" s="12" t="s">
        <v>95</v>
      </c>
      <c r="C11" s="12">
        <v>5</v>
      </c>
      <c r="E11" t="s">
        <v>159</v>
      </c>
      <c r="F11" s="40">
        <v>1</v>
      </c>
    </row>
    <row r="12" spans="2:6" x14ac:dyDescent="0.2">
      <c r="B12" s="12" t="s">
        <v>97</v>
      </c>
      <c r="C12" s="12">
        <v>8</v>
      </c>
    </row>
    <row r="13" spans="2:6" x14ac:dyDescent="0.2">
      <c r="B13" t="s">
        <v>155</v>
      </c>
      <c r="C13" s="12">
        <v>2</v>
      </c>
    </row>
    <row r="14" spans="2:6" x14ac:dyDescent="0.2">
      <c r="B14" s="12" t="s">
        <v>277</v>
      </c>
      <c r="C14" s="12">
        <v>1</v>
      </c>
      <c r="E14" s="39" t="s">
        <v>104</v>
      </c>
      <c r="F14" s="39" t="s">
        <v>105</v>
      </c>
    </row>
    <row r="15" spans="2:6" x14ac:dyDescent="0.2">
      <c r="B15" s="12" t="s">
        <v>99</v>
      </c>
      <c r="C15" s="12">
        <v>14</v>
      </c>
      <c r="E15" t="s">
        <v>158</v>
      </c>
      <c r="F15" s="40">
        <v>300</v>
      </c>
    </row>
    <row r="16" spans="2:6" x14ac:dyDescent="0.2">
      <c r="B16" s="12" t="s">
        <v>103</v>
      </c>
      <c r="C16" s="12">
        <v>9</v>
      </c>
      <c r="E16" t="s">
        <v>159</v>
      </c>
      <c r="F16" s="40">
        <v>300</v>
      </c>
    </row>
    <row r="17" spans="2:6" x14ac:dyDescent="0.2">
      <c r="B17" s="12" t="s">
        <v>156</v>
      </c>
      <c r="C17" s="12">
        <v>7</v>
      </c>
    </row>
    <row r="18" spans="2:6" x14ac:dyDescent="0.2">
      <c r="B18" s="12" t="s">
        <v>106</v>
      </c>
      <c r="C18" s="12">
        <v>1</v>
      </c>
      <c r="E18" s="11" t="s">
        <v>154</v>
      </c>
      <c r="F18" s="11" t="s">
        <v>94</v>
      </c>
    </row>
    <row r="19" spans="2:6" x14ac:dyDescent="0.2">
      <c r="B19" s="12" t="s">
        <v>108</v>
      </c>
      <c r="C19" s="12">
        <v>1</v>
      </c>
      <c r="E19" t="s">
        <v>55</v>
      </c>
      <c r="F19">
        <v>33</v>
      </c>
    </row>
    <row r="20" spans="2:6" x14ac:dyDescent="0.2">
      <c r="B20" s="12" t="s">
        <v>112</v>
      </c>
      <c r="C20" s="12">
        <v>5</v>
      </c>
      <c r="E20" t="s">
        <v>95</v>
      </c>
      <c r="F20">
        <v>1</v>
      </c>
    </row>
    <row r="21" spans="2:6" x14ac:dyDescent="0.2">
      <c r="B21" s="12" t="s">
        <v>113</v>
      </c>
      <c r="C21" s="12">
        <v>4</v>
      </c>
      <c r="E21" t="s">
        <v>97</v>
      </c>
      <c r="F21">
        <v>1</v>
      </c>
    </row>
    <row r="22" spans="2:6" x14ac:dyDescent="0.2">
      <c r="B22" s="42" t="s">
        <v>63</v>
      </c>
      <c r="C22" s="42">
        <f>SUM(C10:C21)</f>
        <v>77</v>
      </c>
    </row>
    <row r="24" spans="2:6" x14ac:dyDescent="0.2">
      <c r="B24" s="39" t="s">
        <v>160</v>
      </c>
      <c r="C24" s="39" t="s">
        <v>42</v>
      </c>
    </row>
    <row r="25" spans="2:6" x14ac:dyDescent="0.2">
      <c r="B25" t="s">
        <v>161</v>
      </c>
      <c r="C25">
        <v>13</v>
      </c>
    </row>
    <row r="26" spans="2:6" x14ac:dyDescent="0.2">
      <c r="B26" t="s">
        <v>156</v>
      </c>
      <c r="C26">
        <v>7</v>
      </c>
    </row>
    <row r="27" spans="2:6" x14ac:dyDescent="0.2">
      <c r="B27" s="42" t="s">
        <v>63</v>
      </c>
      <c r="C27" s="46">
        <f>SUM(C25:C26)</f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24B6-C7A0-0546-987C-CC3F4E415028}">
  <dimension ref="B2:F33"/>
  <sheetViews>
    <sheetView workbookViewId="0">
      <selection activeCell="C26" sqref="C26"/>
    </sheetView>
  </sheetViews>
  <sheetFormatPr baseColWidth="10" defaultRowHeight="16" x14ac:dyDescent="0.2"/>
  <cols>
    <col min="2" max="2" width="36.7109375" customWidth="1"/>
    <col min="3" max="3" width="17" customWidth="1"/>
    <col min="5" max="5" width="24.7109375" customWidth="1"/>
    <col min="6" max="6" width="16.28515625" customWidth="1"/>
  </cols>
  <sheetData>
    <row r="2" spans="2:6" x14ac:dyDescent="0.2">
      <c r="B2" s="10" t="s">
        <v>20</v>
      </c>
      <c r="C2" s="10"/>
    </row>
    <row r="3" spans="2:6" x14ac:dyDescent="0.2">
      <c r="B3" s="10" t="s">
        <v>21</v>
      </c>
      <c r="C3" s="10"/>
    </row>
    <row r="4" spans="2:6" x14ac:dyDescent="0.2">
      <c r="B4" s="10"/>
      <c r="C4" s="10"/>
    </row>
    <row r="5" spans="2:6" x14ac:dyDescent="0.2">
      <c r="B5" s="20" t="s">
        <v>90</v>
      </c>
      <c r="C5" s="21">
        <f>SUM(F11:F12)</f>
        <v>9</v>
      </c>
    </row>
    <row r="6" spans="2:6" x14ac:dyDescent="0.2">
      <c r="B6" s="20" t="s">
        <v>38</v>
      </c>
      <c r="C6" s="21">
        <f>((ROWS(C11:C26)*F11)+(ROWS(C31:C32)*F12)+F13)</f>
        <v>133</v>
      </c>
    </row>
    <row r="7" spans="2:6" x14ac:dyDescent="0.2">
      <c r="B7" s="20" t="s">
        <v>49</v>
      </c>
      <c r="C7" s="21">
        <f xml:space="preserve"> (F11*SUM(C11:C25))+(F12*SUM(C31:C32))+(F13*C26)</f>
        <v>716</v>
      </c>
    </row>
    <row r="8" spans="2:6" x14ac:dyDescent="0.2">
      <c r="B8" s="20" t="s">
        <v>91</v>
      </c>
      <c r="C8" s="38">
        <f>((F11*SUM(C11:C25))/F16)+((F12*SUM(C31:C32))/F17)+((F13*C26)/F16)</f>
        <v>2.3866666666666672</v>
      </c>
    </row>
    <row r="10" spans="2:6" x14ac:dyDescent="0.2">
      <c r="B10" s="11" t="s">
        <v>270</v>
      </c>
      <c r="C10" s="47" t="s">
        <v>42</v>
      </c>
      <c r="E10" s="39" t="s">
        <v>93</v>
      </c>
      <c r="F10" s="39" t="s">
        <v>94</v>
      </c>
    </row>
    <row r="11" spans="2:6" x14ac:dyDescent="0.2">
      <c r="B11" t="s">
        <v>278</v>
      </c>
      <c r="C11">
        <v>3</v>
      </c>
      <c r="E11" t="s">
        <v>276</v>
      </c>
      <c r="F11" s="40">
        <v>8</v>
      </c>
    </row>
    <row r="12" spans="2:6" x14ac:dyDescent="0.2">
      <c r="B12" t="s">
        <v>95</v>
      </c>
      <c r="C12">
        <v>1</v>
      </c>
      <c r="E12" t="s">
        <v>159</v>
      </c>
      <c r="F12" s="40">
        <v>1</v>
      </c>
    </row>
    <row r="13" spans="2:6" x14ac:dyDescent="0.2">
      <c r="B13" t="s">
        <v>124</v>
      </c>
      <c r="C13">
        <v>5</v>
      </c>
      <c r="E13" t="s">
        <v>279</v>
      </c>
      <c r="F13" s="40">
        <v>3</v>
      </c>
    </row>
    <row r="14" spans="2:6" x14ac:dyDescent="0.2">
      <c r="B14" t="s">
        <v>271</v>
      </c>
      <c r="C14">
        <v>4</v>
      </c>
    </row>
    <row r="15" spans="2:6" x14ac:dyDescent="0.2">
      <c r="B15" t="s">
        <v>272</v>
      </c>
      <c r="C15">
        <v>1</v>
      </c>
      <c r="E15" s="39" t="s">
        <v>104</v>
      </c>
      <c r="F15" s="39" t="s">
        <v>105</v>
      </c>
    </row>
    <row r="16" spans="2:6" x14ac:dyDescent="0.2">
      <c r="B16" t="s">
        <v>99</v>
      </c>
      <c r="C16">
        <v>14</v>
      </c>
      <c r="E16" t="s">
        <v>276</v>
      </c>
      <c r="F16" s="40">
        <v>300</v>
      </c>
    </row>
    <row r="17" spans="2:6" x14ac:dyDescent="0.2">
      <c r="B17" t="s">
        <v>48</v>
      </c>
      <c r="C17">
        <v>24</v>
      </c>
      <c r="E17" t="s">
        <v>159</v>
      </c>
      <c r="F17" s="40">
        <v>300</v>
      </c>
    </row>
    <row r="18" spans="2:6" x14ac:dyDescent="0.2">
      <c r="B18" t="s">
        <v>103</v>
      </c>
      <c r="C18">
        <v>9</v>
      </c>
    </row>
    <row r="19" spans="2:6" x14ac:dyDescent="0.2">
      <c r="B19" t="s">
        <v>97</v>
      </c>
      <c r="C19">
        <v>3</v>
      </c>
      <c r="E19" s="11" t="s">
        <v>269</v>
      </c>
      <c r="F19" s="11" t="s">
        <v>94</v>
      </c>
    </row>
    <row r="20" spans="2:6" x14ac:dyDescent="0.2">
      <c r="B20" t="s">
        <v>106</v>
      </c>
      <c r="C20">
        <v>1</v>
      </c>
      <c r="E20" t="s">
        <v>278</v>
      </c>
      <c r="F20">
        <v>2</v>
      </c>
    </row>
    <row r="21" spans="2:6" x14ac:dyDescent="0.2">
      <c r="B21" t="s">
        <v>108</v>
      </c>
      <c r="C21">
        <v>1</v>
      </c>
      <c r="E21" t="s">
        <v>55</v>
      </c>
      <c r="F21">
        <v>4</v>
      </c>
    </row>
    <row r="22" spans="2:6" x14ac:dyDescent="0.2">
      <c r="B22" t="s">
        <v>110</v>
      </c>
      <c r="C22">
        <v>2</v>
      </c>
      <c r="E22" t="s">
        <v>95</v>
      </c>
      <c r="F22">
        <v>8</v>
      </c>
    </row>
    <row r="23" spans="2:6" x14ac:dyDescent="0.2">
      <c r="B23" t="s">
        <v>112</v>
      </c>
      <c r="C23">
        <v>5</v>
      </c>
      <c r="E23" t="s">
        <v>97</v>
      </c>
      <c r="F23">
        <v>3</v>
      </c>
    </row>
    <row r="24" spans="2:6" x14ac:dyDescent="0.2">
      <c r="B24" t="s">
        <v>113</v>
      </c>
      <c r="C24">
        <v>4</v>
      </c>
    </row>
    <row r="25" spans="2:6" x14ac:dyDescent="0.2">
      <c r="B25" t="s">
        <v>156</v>
      </c>
      <c r="C25">
        <v>7</v>
      </c>
    </row>
    <row r="26" spans="2:6" x14ac:dyDescent="0.2">
      <c r="B26" t="s">
        <v>273</v>
      </c>
      <c r="C26">
        <v>8</v>
      </c>
    </row>
    <row r="28" spans="2:6" x14ac:dyDescent="0.2">
      <c r="B28" s="46"/>
      <c r="C28" s="46"/>
    </row>
    <row r="29" spans="2:6" x14ac:dyDescent="0.2">
      <c r="B29" s="46" t="s">
        <v>115</v>
      </c>
      <c r="C29" s="46">
        <f>SUM(C11:C26)</f>
        <v>92</v>
      </c>
    </row>
    <row r="30" spans="2:6" x14ac:dyDescent="0.2">
      <c r="B30" s="11" t="s">
        <v>274</v>
      </c>
      <c r="C30" s="11" t="s">
        <v>42</v>
      </c>
    </row>
    <row r="31" spans="2:6" x14ac:dyDescent="0.2">
      <c r="B31" t="s">
        <v>275</v>
      </c>
      <c r="C31">
        <v>7</v>
      </c>
    </row>
    <row r="32" spans="2:6" x14ac:dyDescent="0.2">
      <c r="B32" t="s">
        <v>161</v>
      </c>
      <c r="C32">
        <v>13</v>
      </c>
    </row>
    <row r="33" spans="2:3" x14ac:dyDescent="0.2">
      <c r="B33" s="46" t="s">
        <v>115</v>
      </c>
      <c r="C33" s="46">
        <f>SUM(C31:C32)</f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A30D-C8A6-BF46-B78F-2A09B7E54550}">
  <dimension ref="B4:I21"/>
  <sheetViews>
    <sheetView tabSelected="1" workbookViewId="0">
      <selection activeCell="E21" sqref="E21"/>
    </sheetView>
  </sheetViews>
  <sheetFormatPr baseColWidth="10" defaultColWidth="8.7109375" defaultRowHeight="16" x14ac:dyDescent="0.2"/>
  <cols>
    <col min="2" max="2" width="16" bestFit="1" customWidth="1"/>
    <col min="7" max="7" width="16.28515625" bestFit="1" customWidth="1"/>
  </cols>
  <sheetData>
    <row r="4" spans="2:9" x14ac:dyDescent="0.2">
      <c r="B4" s="73" t="s">
        <v>280</v>
      </c>
      <c r="C4" s="73" t="s">
        <v>281</v>
      </c>
      <c r="D4" s="73" t="s">
        <v>282</v>
      </c>
      <c r="E4" s="73" t="s">
        <v>283</v>
      </c>
      <c r="G4" s="73" t="s">
        <v>93</v>
      </c>
      <c r="H4" s="73" t="s">
        <v>94</v>
      </c>
    </row>
    <row r="5" spans="2:9" x14ac:dyDescent="0.2">
      <c r="B5" s="73" t="s">
        <v>124</v>
      </c>
      <c r="C5" s="74">
        <f>(H5*H10)</f>
        <v>1200</v>
      </c>
      <c r="D5" s="73">
        <v>6</v>
      </c>
      <c r="E5" s="73">
        <f>C5*D5</f>
        <v>7200</v>
      </c>
      <c r="G5" s="73" t="s">
        <v>284</v>
      </c>
      <c r="H5" s="75">
        <v>200</v>
      </c>
    </row>
    <row r="6" spans="2:9" x14ac:dyDescent="0.2">
      <c r="B6" s="73" t="s">
        <v>285</v>
      </c>
      <c r="C6" s="74">
        <f>(H5*H9)*(H6+H7)</f>
        <v>6400</v>
      </c>
      <c r="D6" s="73">
        <v>18</v>
      </c>
      <c r="E6" s="73">
        <f t="shared" ref="E6:E16" si="0">C6*D6</f>
        <v>115200</v>
      </c>
      <c r="G6" s="73" t="s">
        <v>286</v>
      </c>
      <c r="H6" s="75">
        <v>2</v>
      </c>
    </row>
    <row r="7" spans="2:9" x14ac:dyDescent="0.2">
      <c r="B7" s="73" t="s">
        <v>48</v>
      </c>
      <c r="C7" s="74">
        <f>(H5*H8)</f>
        <v>1000</v>
      </c>
      <c r="D7" s="73">
        <v>20</v>
      </c>
      <c r="E7" s="73">
        <f t="shared" si="0"/>
        <v>20000</v>
      </c>
      <c r="G7" s="73" t="s">
        <v>287</v>
      </c>
      <c r="H7" s="75">
        <v>6</v>
      </c>
    </row>
    <row r="8" spans="2:9" x14ac:dyDescent="0.2">
      <c r="B8" s="73" t="s">
        <v>288</v>
      </c>
      <c r="C8" s="74">
        <f>(H5*H11)</f>
        <v>400</v>
      </c>
      <c r="D8" s="73">
        <v>1</v>
      </c>
      <c r="E8" s="73">
        <f t="shared" si="0"/>
        <v>400</v>
      </c>
      <c r="G8" s="73" t="s">
        <v>289</v>
      </c>
      <c r="H8" s="75">
        <v>5</v>
      </c>
    </row>
    <row r="9" spans="2:9" x14ac:dyDescent="0.2">
      <c r="B9" s="73" t="s">
        <v>290</v>
      </c>
      <c r="C9" s="74">
        <f>(H5*H9)</f>
        <v>800</v>
      </c>
      <c r="D9" s="73">
        <v>36</v>
      </c>
      <c r="E9" s="73">
        <f t="shared" si="0"/>
        <v>28800</v>
      </c>
      <c r="G9" s="73" t="s">
        <v>291</v>
      </c>
      <c r="H9" s="75">
        <v>4</v>
      </c>
    </row>
    <row r="10" spans="2:9" x14ac:dyDescent="0.2">
      <c r="B10" s="73" t="s">
        <v>292</v>
      </c>
      <c r="C10" s="73">
        <f>H5</f>
        <v>200</v>
      </c>
      <c r="D10" s="73">
        <v>6</v>
      </c>
      <c r="E10" s="73">
        <f t="shared" si="0"/>
        <v>1200</v>
      </c>
      <c r="G10" s="73" t="s">
        <v>293</v>
      </c>
      <c r="H10" s="75">
        <v>6</v>
      </c>
    </row>
    <row r="11" spans="2:9" x14ac:dyDescent="0.2">
      <c r="B11" s="73" t="s">
        <v>294</v>
      </c>
      <c r="C11" s="73">
        <f>H5</f>
        <v>200</v>
      </c>
      <c r="D11" s="73">
        <v>1</v>
      </c>
      <c r="E11" s="73">
        <f t="shared" si="0"/>
        <v>200</v>
      </c>
      <c r="G11" s="73" t="s">
        <v>295</v>
      </c>
      <c r="H11" s="75">
        <v>2</v>
      </c>
    </row>
    <row r="12" spans="2:9" x14ac:dyDescent="0.2">
      <c r="B12" s="73" t="s">
        <v>296</v>
      </c>
      <c r="C12" s="73">
        <f>H5</f>
        <v>200</v>
      </c>
      <c r="D12" s="73">
        <v>4</v>
      </c>
      <c r="E12" s="73">
        <f t="shared" si="0"/>
        <v>800</v>
      </c>
    </row>
    <row r="13" spans="2:9" x14ac:dyDescent="0.2">
      <c r="B13" s="73" t="s">
        <v>297</v>
      </c>
      <c r="C13" s="73">
        <f>H5</f>
        <v>200</v>
      </c>
      <c r="D13" s="73">
        <v>7</v>
      </c>
      <c r="E13" s="73">
        <f t="shared" si="0"/>
        <v>1400</v>
      </c>
      <c r="G13" s="73" t="s">
        <v>298</v>
      </c>
      <c r="H13" s="75">
        <v>5</v>
      </c>
      <c r="I13" s="73" t="s">
        <v>299</v>
      </c>
    </row>
    <row r="14" spans="2:9" x14ac:dyDescent="0.2">
      <c r="B14" s="73" t="s">
        <v>300</v>
      </c>
      <c r="C14" s="73">
        <f>H5</f>
        <v>200</v>
      </c>
      <c r="D14" s="73">
        <v>1</v>
      </c>
      <c r="E14" s="73">
        <f t="shared" si="0"/>
        <v>200</v>
      </c>
    </row>
    <row r="15" spans="2:9" x14ac:dyDescent="0.2">
      <c r="B15" s="73" t="s">
        <v>301</v>
      </c>
      <c r="C15" s="73">
        <f>H5</f>
        <v>200</v>
      </c>
      <c r="D15" s="73">
        <v>1</v>
      </c>
      <c r="E15" s="73">
        <f t="shared" si="0"/>
        <v>200</v>
      </c>
    </row>
    <row r="16" spans="2:9" x14ac:dyDescent="0.2">
      <c r="B16" s="73" t="s">
        <v>302</v>
      </c>
      <c r="C16" s="73">
        <f>(H5*3)</f>
        <v>600</v>
      </c>
      <c r="D16" s="73">
        <v>3</v>
      </c>
      <c r="E16" s="73">
        <f t="shared" si="0"/>
        <v>1800</v>
      </c>
      <c r="G16" t="s">
        <v>285</v>
      </c>
      <c r="H16" t="s">
        <v>303</v>
      </c>
    </row>
    <row r="17" spans="2:8" x14ac:dyDescent="0.2">
      <c r="B17" s="73" t="s">
        <v>304</v>
      </c>
      <c r="C17" s="74">
        <f>(H5*H9)</f>
        <v>800</v>
      </c>
      <c r="D17" s="73">
        <v>3</v>
      </c>
      <c r="E17" s="73">
        <f>C17*D17 /2</f>
        <v>1200</v>
      </c>
      <c r="G17" t="s">
        <v>304</v>
      </c>
      <c r="H17" t="s">
        <v>305</v>
      </c>
    </row>
    <row r="18" spans="2:8" x14ac:dyDescent="0.2">
      <c r="B18" s="73" t="s">
        <v>306</v>
      </c>
      <c r="C18" s="73">
        <f>H5</f>
        <v>200</v>
      </c>
      <c r="D18" s="73">
        <v>3</v>
      </c>
      <c r="E18" s="73">
        <f>C18*D18/2</f>
        <v>300</v>
      </c>
    </row>
    <row r="20" spans="2:8" x14ac:dyDescent="0.2">
      <c r="E20">
        <f>SUM(E5:E18)</f>
        <v>178900</v>
      </c>
    </row>
    <row r="21" spans="2:8" x14ac:dyDescent="0.2">
      <c r="D21" t="s">
        <v>307</v>
      </c>
      <c r="E21">
        <f>(E20/(H13*60))</f>
        <v>596.33333333333337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PAS sizing</vt:lpstr>
      <vt:lpstr>Viptela sizing sheet</vt:lpstr>
      <vt:lpstr>Versa sizing sheet</vt:lpstr>
      <vt:lpstr>Nuage sizing sheet</vt:lpstr>
      <vt:lpstr>Fortinet Sizing (SNMP)</vt:lpstr>
      <vt:lpstr>Cisco SD-WAN</vt:lpstr>
      <vt:lpstr>Aruba EdgeConnect Sizing </vt:lpstr>
      <vt:lpstr>Prisma SD-WAN</vt:lpstr>
      <vt:lpstr>VeloCloud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Lilee Naik</cp:lastModifiedBy>
  <cp:revision>5</cp:revision>
  <dcterms:created xsi:type="dcterms:W3CDTF">2021-06-11T06:42:20Z</dcterms:created>
  <dcterms:modified xsi:type="dcterms:W3CDTF">2026-04-15T14:11:50Z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