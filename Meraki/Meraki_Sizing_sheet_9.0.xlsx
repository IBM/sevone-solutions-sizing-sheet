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erthipriya/Downloads/Sizing/"/>
    </mc:Choice>
  </mc:AlternateContent>
  <xr:revisionPtr revIDLastSave="0" documentId="8_{13394DA5-0B12-FF43-994E-38F30ACB7754}" xr6:coauthVersionLast="47" xr6:coauthVersionMax="47" xr10:uidLastSave="{00000000-0000-0000-0000-000000000000}"/>
  <bookViews>
    <workbookView xWindow="0" yWindow="760" windowWidth="34560" windowHeight="19920" firstSheet="1" activeTab="1" xr2:uid="{7C0A8D67-C894-EA4C-825E-657E8005AC7F}"/>
  </bookViews>
  <sheets>
    <sheet name="PAS Sizing" sheetId="2" r:id="rId1"/>
    <sheet name="Cisco Meraki 9.0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53" i="1"/>
  <c r="C52" i="1"/>
  <c r="C46" i="1"/>
  <c r="C47" i="1"/>
  <c r="C37" i="1"/>
  <c r="C36" i="1"/>
  <c r="C59" i="1"/>
  <c r="C58" i="1"/>
  <c r="C19" i="1"/>
  <c r="C18" i="1"/>
  <c r="C5" i="1"/>
  <c r="C25" i="1"/>
  <c r="C24" i="1"/>
  <c r="C8" i="1" l="1"/>
  <c r="C7" i="1"/>
</calcChain>
</file>

<file path=xl/sharedStrings.xml><?xml version="1.0" encoding="utf-8"?>
<sst xmlns="http://schemas.openxmlformats.org/spreadsheetml/2006/main" count="109" uniqueCount="85">
  <si>
    <t>Appliance</t>
  </si>
  <si>
    <t>Maximum</t>
  </si>
  <si>
    <t>Indicators/Sec</t>
  </si>
  <si>
    <t>Object count</t>
  </si>
  <si>
    <t>PAS 5K, vPAS 5k</t>
  </si>
  <si>
    <t>5K</t>
  </si>
  <si>
    <t>PAS 10K, vPAS 10k</t>
  </si>
  <si>
    <t>10K</t>
  </si>
  <si>
    <t>PAS 20K, vPAS 20k</t>
  </si>
  <si>
    <t>20K</t>
  </si>
  <si>
    <t>PAS 40K</t>
  </si>
  <si>
    <t>40K</t>
  </si>
  <si>
    <t xml:space="preserve">PAS 60K </t>
  </si>
  <si>
    <t>50K</t>
  </si>
  <si>
    <t>vPAS100k</t>
  </si>
  <si>
    <t>100K</t>
  </si>
  <si>
    <t>PAS 200K</t>
  </si>
  <si>
    <t>200K</t>
  </si>
  <si>
    <t>PAS 300K</t>
  </si>
  <si>
    <t>300K</t>
  </si>
  <si>
    <t>Legend</t>
  </si>
  <si>
    <t>Provide the device and polling interval in the - Yellow fields</t>
  </si>
  <si>
    <t>Calculated output for IPS for PAS sizing</t>
  </si>
  <si>
    <t>Total Devices</t>
  </si>
  <si>
    <t>Total Objects</t>
  </si>
  <si>
    <t>Total Indicators</t>
  </si>
  <si>
    <t>Total Indicators Per Second</t>
  </si>
  <si>
    <t>SD-WAN Appliances (MX) Objects</t>
  </si>
  <si>
    <t>Indicators</t>
  </si>
  <si>
    <t>SNMP Availability</t>
  </si>
  <si>
    <t>Ping Data</t>
  </si>
  <si>
    <t>Device Health</t>
  </si>
  <si>
    <t>Device Types</t>
  </si>
  <si>
    <t>Device Count</t>
  </si>
  <si>
    <t>Memory</t>
  </si>
  <si>
    <t>SD-WAN Appliances (MX)</t>
  </si>
  <si>
    <t>Cellular</t>
  </si>
  <si>
    <t xml:space="preserve">IOT (MT10, MT14) </t>
  </si>
  <si>
    <t>Uplink</t>
  </si>
  <si>
    <t>Wi-Fi AP (CW)</t>
  </si>
  <si>
    <t>Interface</t>
  </si>
  <si>
    <t>Switches (MS)</t>
  </si>
  <si>
    <t>Total  number of objects per SD-WAN device</t>
  </si>
  <si>
    <t>Cellular Gateways(MG)</t>
  </si>
  <si>
    <t>Total number of indicators per SD-WAN device</t>
  </si>
  <si>
    <t>Smart Cameras(MV)</t>
  </si>
  <si>
    <t>Meraki Networks with Wi-Fi AP's</t>
  </si>
  <si>
    <t>IoT (MT10, MT14) Objects</t>
  </si>
  <si>
    <t>Sensor</t>
  </si>
  <si>
    <t>Total  number of objects per IoT device</t>
  </si>
  <si>
    <t>Polling Interval (s)</t>
  </si>
  <si>
    <t>Total  number of indicators per IoT device</t>
  </si>
  <si>
    <t>Polling Interval in seconds for Meraki devices</t>
  </si>
  <si>
    <t>Number of Meraki Accounts added as Integrations</t>
  </si>
  <si>
    <t>Wi-Fi AP (CW) Objects</t>
  </si>
  <si>
    <t>Meraki Object Type</t>
  </si>
  <si>
    <t>System</t>
  </si>
  <si>
    <t>Approx Number of Interfaces per SD-WAN Appliance</t>
  </si>
  <si>
    <t>Packet Loss</t>
  </si>
  <si>
    <t>Approx Number of Interfaces per AP</t>
  </si>
  <si>
    <t>Approx Number of Interfaces per Switch</t>
  </si>
  <si>
    <t>Approx Number of SD-WAN Uplinks</t>
  </si>
  <si>
    <t>Channel Utilization</t>
  </si>
  <si>
    <t>Approx Number of SD-WAN Cellular Uplinks</t>
  </si>
  <si>
    <t>Total  number of objects per AP</t>
  </si>
  <si>
    <t>Approx Number of MG Cellular Uplinks</t>
  </si>
  <si>
    <t>Total  number of indicators per AP</t>
  </si>
  <si>
    <t>Switch(MS) Objects</t>
  </si>
  <si>
    <t>Total  number of objects per Switch</t>
  </si>
  <si>
    <t>Total  number of indicators per Switch</t>
  </si>
  <si>
    <t>Cellular Gateway(MG) Objects</t>
  </si>
  <si>
    <t>Cellular Uplink</t>
  </si>
  <si>
    <t>Total  number of objects per MG</t>
  </si>
  <si>
    <t>Total  number of indicators per MG</t>
  </si>
  <si>
    <t>Smart Camera(MV) Objects</t>
  </si>
  <si>
    <t>Total  number of objects per MV</t>
  </si>
  <si>
    <t>Total  number of indicators per MV</t>
  </si>
  <si>
    <t>Wireless Network Object Types</t>
  </si>
  <si>
    <t>Wireless</t>
  </si>
  <si>
    <t>Total number of objects per AP Network</t>
  </si>
  <si>
    <t>Total number of indicators per AP Network</t>
  </si>
  <si>
    <t>Meraki Orchestrator Object Types</t>
  </si>
  <si>
    <t>Website Data</t>
  </si>
  <si>
    <t>Total number of objects per Meraki Orchestrator</t>
  </si>
  <si>
    <t>Total number of indicators per Meraki Orchestrator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</si>
</sst>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rgb="FF000000"/>
      <name val="Arial"/>
      <family val="2"/>
      <charset val="1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rgb="FF242424"/>
      <name val="Calibri"/>
      <family val="2"/>
    </font>
    <font>
      <b/>
      <sz val="18"/>
      <color rgb="FFFFFFFF"/>
      <name val="Arial"/>
      <family val="2"/>
      <charset val="1"/>
    </font>
    <font>
      <sz val="16"/>
      <color rgb="FF000000"/>
      <name val="Arial"/>
      <family val="2"/>
      <charset val="1"/>
    </font>
    <font>
      <sz val="12"/>
      <color rgb="FF000000"/>
      <name val="Aptos Narrow"/>
      <scheme val="minor"/>
    </font>
    <font>
      <b/>
      <sz val="12"/>
      <color rgb="FF000000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3FF99"/>
        <bgColor indexed="64"/>
      </patternFill>
    </fill>
    <fill>
      <patternFill patternType="solid">
        <fgColor rgb="FF33FF99"/>
        <bgColor rgb="FF00FFFF"/>
      </patternFill>
    </fill>
    <fill>
      <patternFill patternType="solid">
        <fgColor rgb="FFB2B2B2"/>
        <bgColor rgb="FFB7B7B7"/>
      </patternFill>
    </fill>
    <fill>
      <patternFill patternType="solid">
        <fgColor rgb="FF4375A7"/>
        <bgColor rgb="FF3366FF"/>
      </patternFill>
    </fill>
    <fill>
      <patternFill patternType="solid">
        <fgColor rgb="FFCFD6E1"/>
        <bgColor rgb="FFE9ECF1"/>
      </patternFill>
    </fill>
    <fill>
      <patternFill patternType="solid">
        <fgColor rgb="FFE9ECF1"/>
        <bgColor rgb="FFFFFFFF"/>
      </patternFill>
    </fill>
    <fill>
      <patternFill patternType="solid">
        <fgColor theme="0"/>
        <bgColor rgb="FFB7B7B7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3" fontId="0" fillId="2" borderId="1" xfId="0" applyNumberFormat="1" applyFill="1" applyBorder="1"/>
    <xf numFmtId="0" fontId="3" fillId="0" borderId="0" xfId="0" applyFont="1"/>
    <xf numFmtId="0" fontId="4" fillId="3" borderId="1" xfId="0" applyFont="1" applyFill="1" applyBorder="1"/>
    <xf numFmtId="0" fontId="3" fillId="4" borderId="0" xfId="0" applyFont="1" applyFill="1"/>
    <xf numFmtId="3" fontId="3" fillId="4" borderId="0" xfId="0" applyNumberFormat="1" applyFont="1" applyFill="1"/>
    <xf numFmtId="4" fontId="3" fillId="4" borderId="0" xfId="0" applyNumberFormat="1" applyFont="1" applyFill="1"/>
    <xf numFmtId="0" fontId="3" fillId="5" borderId="0" xfId="0" applyFont="1" applyFill="1"/>
    <xf numFmtId="0" fontId="3" fillId="5" borderId="0" xfId="0" applyFont="1" applyFill="1" applyAlignment="1">
      <alignment horizontal="left"/>
    </xf>
    <xf numFmtId="3" fontId="2" fillId="0" borderId="0" xfId="0" applyNumberFormat="1" applyFont="1"/>
    <xf numFmtId="3" fontId="2" fillId="2" borderId="0" xfId="0" applyNumberFormat="1" applyFont="1" applyFill="1"/>
    <xf numFmtId="0" fontId="2" fillId="2" borderId="0" xfId="0" applyFont="1" applyFill="1"/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left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left" vertical="center" wrapText="1"/>
    </xf>
    <xf numFmtId="3" fontId="6" fillId="7" borderId="6" xfId="0" applyNumberFormat="1" applyFont="1" applyFill="1" applyBorder="1" applyAlignment="1">
      <alignment horizontal="center" vertical="center" wrapText="1"/>
    </xf>
    <xf numFmtId="3" fontId="6" fillId="8" borderId="6" xfId="0" applyNumberFormat="1" applyFont="1" applyFill="1" applyBorder="1" applyAlignment="1">
      <alignment horizontal="center" vertical="center" wrapText="1"/>
    </xf>
    <xf numFmtId="0" fontId="3" fillId="9" borderId="0" xfId="0" applyFont="1" applyFill="1"/>
    <xf numFmtId="0" fontId="7" fillId="0" borderId="0" xfId="0" applyFont="1"/>
    <xf numFmtId="0" fontId="8" fillId="0" borderId="0" xfId="0" applyFont="1"/>
    <xf numFmtId="0" fontId="5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7FBCA-8952-494D-B888-EA9A2CCC41BC}">
  <dimension ref="C1:E15"/>
  <sheetViews>
    <sheetView workbookViewId="0">
      <selection activeCell="E15" sqref="E15"/>
    </sheetView>
  </sheetViews>
  <sheetFormatPr baseColWidth="10" defaultColWidth="10.1640625" defaultRowHeight="16" x14ac:dyDescent="0.2"/>
  <sheetData>
    <row r="1" spans="3:5" ht="15.75" customHeight="1" x14ac:dyDescent="0.2"/>
    <row r="2" spans="3:5" ht="15.75" customHeight="1" thickBot="1" x14ac:dyDescent="0.25"/>
    <row r="3" spans="3:5" ht="37" customHeight="1" thickBot="1" x14ac:dyDescent="0.25">
      <c r="C3" s="26" t="s">
        <v>0</v>
      </c>
      <c r="D3" s="14" t="s">
        <v>1</v>
      </c>
      <c r="E3" s="14" t="s">
        <v>1</v>
      </c>
    </row>
    <row r="4" spans="3:5" ht="74" thickTop="1" thickBot="1" x14ac:dyDescent="0.25">
      <c r="C4" s="26"/>
      <c r="D4" s="15" t="s">
        <v>2</v>
      </c>
      <c r="E4" s="15" t="s">
        <v>3</v>
      </c>
    </row>
    <row r="5" spans="3:5" ht="86" thickTop="1" thickBot="1" x14ac:dyDescent="0.25">
      <c r="C5" s="16" t="s">
        <v>4</v>
      </c>
      <c r="D5" s="17">
        <v>333</v>
      </c>
      <c r="E5" s="17" t="s">
        <v>5</v>
      </c>
    </row>
    <row r="6" spans="3:5" ht="85" thickBot="1" x14ac:dyDescent="0.25">
      <c r="C6" s="18" t="s">
        <v>6</v>
      </c>
      <c r="D6" s="19">
        <v>667</v>
      </c>
      <c r="E6" s="19" t="s">
        <v>7</v>
      </c>
    </row>
    <row r="7" spans="3:5" ht="85" thickBot="1" x14ac:dyDescent="0.25">
      <c r="C7" s="20" t="s">
        <v>8</v>
      </c>
      <c r="D7" s="21">
        <v>1333</v>
      </c>
      <c r="E7" s="21" t="s">
        <v>9</v>
      </c>
    </row>
    <row r="8" spans="3:5" ht="43" thickBot="1" x14ac:dyDescent="0.25">
      <c r="C8" s="18" t="s">
        <v>10</v>
      </c>
      <c r="D8" s="22">
        <v>2666</v>
      </c>
      <c r="E8" s="22" t="s">
        <v>11</v>
      </c>
    </row>
    <row r="9" spans="3:5" ht="43" thickBot="1" x14ac:dyDescent="0.25">
      <c r="C9" s="20" t="s">
        <v>12</v>
      </c>
      <c r="D9" s="21">
        <v>4000</v>
      </c>
      <c r="E9" s="21" t="s">
        <v>13</v>
      </c>
    </row>
    <row r="10" spans="3:5" ht="43" thickBot="1" x14ac:dyDescent="0.25">
      <c r="C10" s="18" t="s">
        <v>14</v>
      </c>
      <c r="D10" s="22">
        <v>6667</v>
      </c>
      <c r="E10" s="22" t="s">
        <v>15</v>
      </c>
    </row>
    <row r="11" spans="3:5" ht="43" thickBot="1" x14ac:dyDescent="0.25">
      <c r="C11" s="20" t="s">
        <v>16</v>
      </c>
      <c r="D11" s="21">
        <v>13333</v>
      </c>
      <c r="E11" s="21" t="s">
        <v>17</v>
      </c>
    </row>
    <row r="12" spans="3:5" ht="43" thickBot="1" x14ac:dyDescent="0.25">
      <c r="C12" s="18" t="s">
        <v>18</v>
      </c>
      <c r="D12" s="22">
        <v>20000</v>
      </c>
      <c r="E12" s="22" t="s">
        <v>19</v>
      </c>
    </row>
    <row r="15" spans="3:5" ht="15.75" customHeight="1" x14ac:dyDescent="0.2"/>
  </sheetData>
  <mergeCells count="1"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3865-33FC-FC45-BEE5-670462388ADC}">
  <dimension ref="A1:F72"/>
  <sheetViews>
    <sheetView tabSelected="1" workbookViewId="0">
      <selection activeCell="B12" sqref="B12"/>
    </sheetView>
  </sheetViews>
  <sheetFormatPr baseColWidth="10" defaultColWidth="13.5" defaultRowHeight="16" x14ac:dyDescent="0.2"/>
  <cols>
    <col min="1" max="1" width="13.5" style="2"/>
    <col min="2" max="2" width="40.83203125" style="2" customWidth="1"/>
    <col min="3" max="3" width="51.83203125" style="2" bestFit="1" customWidth="1"/>
    <col min="4" max="4" width="13.5" style="2"/>
    <col min="5" max="5" width="55.6640625" style="2" customWidth="1"/>
    <col min="6" max="6" width="17.6640625" style="2" customWidth="1"/>
    <col min="7" max="16384" width="13.5" style="2"/>
  </cols>
  <sheetData>
    <row r="1" spans="1:6" x14ac:dyDescent="0.2">
      <c r="A1"/>
      <c r="B1" s="1" t="s">
        <v>20</v>
      </c>
      <c r="C1"/>
    </row>
    <row r="2" spans="1:6" x14ac:dyDescent="0.2">
      <c r="B2" s="3"/>
      <c r="C2" s="4" t="s">
        <v>21</v>
      </c>
    </row>
    <row r="3" spans="1:6" x14ac:dyDescent="0.2">
      <c r="B3" s="5"/>
      <c r="C3" s="4" t="s">
        <v>22</v>
      </c>
    </row>
    <row r="4" spans="1:6" x14ac:dyDescent="0.2">
      <c r="B4" s="4"/>
      <c r="C4" s="4"/>
    </row>
    <row r="5" spans="1:6" x14ac:dyDescent="0.2">
      <c r="B5" s="6" t="s">
        <v>23</v>
      </c>
      <c r="C5" s="7">
        <f>SUM(F14:F19)</f>
        <v>8205</v>
      </c>
    </row>
    <row r="6" spans="1:6" x14ac:dyDescent="0.2">
      <c r="B6" s="6" t="s">
        <v>24</v>
      </c>
      <c r="C6" s="7">
        <f>F14*C18+F15*C24+F16*C36+F17*C46+F18*C52+F19*C58+F20*C63+C68</f>
        <v>221816</v>
      </c>
    </row>
    <row r="7" spans="1:6" x14ac:dyDescent="0.2">
      <c r="B7" s="6" t="s">
        <v>25</v>
      </c>
      <c r="C7" s="7">
        <f xml:space="preserve"> F14*C19+F15*C25+F16*C37+F17*C47++F18*C53+F19*C59+F20*C64+C69</f>
        <v>3363066</v>
      </c>
    </row>
    <row r="8" spans="1:6" x14ac:dyDescent="0.2">
      <c r="B8" s="6" t="s">
        <v>26</v>
      </c>
      <c r="C8" s="8">
        <f xml:space="preserve"> (F14*C19)/F25+(F15*C25)/F25+(F16*C37)/F25+(F17*C47)/F25+(F18*C53)/F25+(F19*C59)/F25+(F20*C64)/F25+C69/F25</f>
        <v>11210.220000000001</v>
      </c>
    </row>
    <row r="9" spans="1:6" x14ac:dyDescent="0.2">
      <c r="E9" s="4"/>
      <c r="F9" s="4"/>
    </row>
    <row r="10" spans="1:6" x14ac:dyDescent="0.2">
      <c r="B10" s="9" t="s">
        <v>27</v>
      </c>
      <c r="C10" s="10" t="s">
        <v>28</v>
      </c>
      <c r="F10" s="4"/>
    </row>
    <row r="11" spans="1:6" x14ac:dyDescent="0.2">
      <c r="B11" s="2" t="s">
        <v>29</v>
      </c>
      <c r="C11" s="2">
        <v>1</v>
      </c>
      <c r="F11" s="4"/>
    </row>
    <row r="12" spans="1:6" x14ac:dyDescent="0.2">
      <c r="B12" s="2" t="s">
        <v>30</v>
      </c>
      <c r="C12" s="2">
        <v>7</v>
      </c>
      <c r="F12" s="11"/>
    </row>
    <row r="13" spans="1:6" x14ac:dyDescent="0.2">
      <c r="B13" s="2" t="s">
        <v>31</v>
      </c>
      <c r="C13" s="2">
        <v>2</v>
      </c>
      <c r="E13" s="9" t="s">
        <v>32</v>
      </c>
      <c r="F13" s="9" t="s">
        <v>33</v>
      </c>
    </row>
    <row r="14" spans="1:6" x14ac:dyDescent="0.2">
      <c r="B14" s="2" t="s">
        <v>34</v>
      </c>
      <c r="C14" s="2">
        <v>5</v>
      </c>
      <c r="E14" s="2" t="s">
        <v>35</v>
      </c>
      <c r="F14" s="12">
        <v>4000</v>
      </c>
    </row>
    <row r="15" spans="1:6" x14ac:dyDescent="0.2">
      <c r="B15" s="2" t="s">
        <v>36</v>
      </c>
      <c r="C15" s="2">
        <v>3</v>
      </c>
      <c r="E15" s="2" t="s">
        <v>37</v>
      </c>
      <c r="F15" s="12">
        <v>2</v>
      </c>
    </row>
    <row r="16" spans="1:6" x14ac:dyDescent="0.2">
      <c r="B16" s="2" t="s">
        <v>38</v>
      </c>
      <c r="C16" s="2">
        <v>2</v>
      </c>
      <c r="E16" s="2" t="s">
        <v>39</v>
      </c>
      <c r="F16" s="12">
        <v>200</v>
      </c>
    </row>
    <row r="17" spans="2:6" x14ac:dyDescent="0.2">
      <c r="B17" s="2" t="s">
        <v>40</v>
      </c>
      <c r="C17" s="2">
        <v>24</v>
      </c>
      <c r="E17" s="2" t="s">
        <v>41</v>
      </c>
      <c r="F17" s="12">
        <v>4000</v>
      </c>
    </row>
    <row r="18" spans="2:6" x14ac:dyDescent="0.2">
      <c r="B18" s="4" t="s">
        <v>42</v>
      </c>
      <c r="C18" s="4">
        <f xml:space="preserve"> (ROWS(B11:B17))+F31+F34+F35</f>
        <v>45</v>
      </c>
      <c r="E18" s="2" t="s">
        <v>43</v>
      </c>
      <c r="F18" s="12">
        <v>1</v>
      </c>
    </row>
    <row r="19" spans="2:6" x14ac:dyDescent="0.2">
      <c r="B19" s="4" t="s">
        <v>44</v>
      </c>
      <c r="C19" s="4">
        <f xml:space="preserve"> (ROWS(C11:C14))+C17*F31+C16*F34+C15*F35</f>
        <v>701</v>
      </c>
      <c r="E19" s="2" t="s">
        <v>45</v>
      </c>
      <c r="F19" s="12">
        <v>2</v>
      </c>
    </row>
    <row r="20" spans="2:6" x14ac:dyDescent="0.2">
      <c r="B20" s="4"/>
      <c r="C20" s="4"/>
      <c r="E20" s="2" t="s">
        <v>46</v>
      </c>
      <c r="F20" s="12">
        <v>1</v>
      </c>
    </row>
    <row r="21" spans="2:6" x14ac:dyDescent="0.2">
      <c r="B21" s="9" t="s">
        <v>47</v>
      </c>
      <c r="C21" s="10" t="s">
        <v>28</v>
      </c>
      <c r="F21" s="11"/>
    </row>
    <row r="22" spans="2:6" x14ac:dyDescent="0.2">
      <c r="B22" s="2" t="s">
        <v>31</v>
      </c>
      <c r="C22" s="2">
        <v>2</v>
      </c>
      <c r="F22" s="11"/>
    </row>
    <row r="23" spans="2:6" x14ac:dyDescent="0.2">
      <c r="B23" s="2" t="s">
        <v>48</v>
      </c>
      <c r="C23" s="2">
        <v>2</v>
      </c>
      <c r="F23" s="11"/>
    </row>
    <row r="24" spans="2:6" x14ac:dyDescent="0.2">
      <c r="B24" s="4" t="s">
        <v>49</v>
      </c>
      <c r="C24" s="4">
        <f xml:space="preserve"> ROWS(B22:B23)</f>
        <v>2</v>
      </c>
      <c r="E24" s="9"/>
      <c r="F24" s="9" t="s">
        <v>50</v>
      </c>
    </row>
    <row r="25" spans="2:6" x14ac:dyDescent="0.2">
      <c r="B25" s="4" t="s">
        <v>51</v>
      </c>
      <c r="C25" s="4">
        <f xml:space="preserve"> C22+C23</f>
        <v>4</v>
      </c>
      <c r="E25" s="2" t="s">
        <v>52</v>
      </c>
      <c r="F25" s="13">
        <v>300</v>
      </c>
    </row>
    <row r="26" spans="2:6" x14ac:dyDescent="0.2">
      <c r="B26" s="4"/>
      <c r="C26" s="4"/>
      <c r="E26" s="2" t="s">
        <v>53</v>
      </c>
      <c r="F26" s="13">
        <v>300</v>
      </c>
    </row>
    <row r="27" spans="2:6" x14ac:dyDescent="0.2">
      <c r="B27" s="9" t="s">
        <v>54</v>
      </c>
      <c r="C27" s="9" t="s">
        <v>28</v>
      </c>
    </row>
    <row r="28" spans="2:6" x14ac:dyDescent="0.2">
      <c r="B28" s="2" t="s">
        <v>40</v>
      </c>
      <c r="C28" s="2">
        <v>24</v>
      </c>
      <c r="E28" s="4"/>
      <c r="F28" s="4"/>
    </row>
    <row r="29" spans="2:6" x14ac:dyDescent="0.2">
      <c r="B29" s="2" t="s">
        <v>30</v>
      </c>
      <c r="C29" s="2">
        <v>7</v>
      </c>
      <c r="E29" s="4"/>
      <c r="F29" s="4"/>
    </row>
    <row r="30" spans="2:6" x14ac:dyDescent="0.2">
      <c r="B30" s="2" t="s">
        <v>29</v>
      </c>
      <c r="C30" s="2">
        <v>1</v>
      </c>
      <c r="E30" s="9" t="s">
        <v>55</v>
      </c>
      <c r="F30" s="9" t="s">
        <v>3</v>
      </c>
    </row>
    <row r="31" spans="2:6" x14ac:dyDescent="0.2">
      <c r="B31" s="2" t="s">
        <v>56</v>
      </c>
      <c r="C31" s="2">
        <v>1</v>
      </c>
      <c r="E31" s="2" t="s">
        <v>57</v>
      </c>
      <c r="F31" s="13">
        <v>28</v>
      </c>
    </row>
    <row r="32" spans="2:6" x14ac:dyDescent="0.2">
      <c r="B32" s="2" t="s">
        <v>58</v>
      </c>
      <c r="C32" s="2">
        <v>2</v>
      </c>
      <c r="E32" s="2" t="s">
        <v>59</v>
      </c>
      <c r="F32" s="13">
        <v>2</v>
      </c>
    </row>
    <row r="33" spans="2:6" x14ac:dyDescent="0.2">
      <c r="B33" s="2" t="s">
        <v>31</v>
      </c>
      <c r="C33" s="2">
        <v>2</v>
      </c>
      <c r="E33" s="2" t="s">
        <v>60</v>
      </c>
      <c r="F33" s="13">
        <v>5</v>
      </c>
    </row>
    <row r="34" spans="2:6" x14ac:dyDescent="0.2">
      <c r="B34" s="2" t="s">
        <v>34</v>
      </c>
      <c r="C34" s="2">
        <v>5</v>
      </c>
      <c r="E34" s="2" t="s">
        <v>61</v>
      </c>
      <c r="F34" s="13">
        <v>5</v>
      </c>
    </row>
    <row r="35" spans="2:6" x14ac:dyDescent="0.2">
      <c r="B35" s="2" t="s">
        <v>62</v>
      </c>
      <c r="C35" s="2">
        <v>9</v>
      </c>
      <c r="E35" s="2" t="s">
        <v>63</v>
      </c>
      <c r="F35" s="13">
        <v>5</v>
      </c>
    </row>
    <row r="36" spans="2:6" x14ac:dyDescent="0.2">
      <c r="B36" s="4" t="s">
        <v>64</v>
      </c>
      <c r="C36" s="4">
        <f xml:space="preserve"> F32+ROWS(B29:B35)</f>
        <v>9</v>
      </c>
      <c r="E36" s="2" t="s">
        <v>65</v>
      </c>
      <c r="F36" s="13">
        <v>5</v>
      </c>
    </row>
    <row r="37" spans="2:6" x14ac:dyDescent="0.2">
      <c r="B37" s="4" t="s">
        <v>66</v>
      </c>
      <c r="C37" s="4">
        <f xml:space="preserve"> F32*C28+SUM(C29:C35)</f>
        <v>75</v>
      </c>
    </row>
    <row r="38" spans="2:6" x14ac:dyDescent="0.2">
      <c r="B38" s="4"/>
    </row>
    <row r="39" spans="2:6" x14ac:dyDescent="0.2">
      <c r="B39" s="9" t="s">
        <v>67</v>
      </c>
      <c r="C39" s="9" t="s">
        <v>28</v>
      </c>
    </row>
    <row r="40" spans="2:6" x14ac:dyDescent="0.2">
      <c r="B40" s="2" t="s">
        <v>40</v>
      </c>
      <c r="C40" s="2">
        <v>24</v>
      </c>
    </row>
    <row r="41" spans="2:6" x14ac:dyDescent="0.2">
      <c r="B41" s="2" t="s">
        <v>30</v>
      </c>
      <c r="C41" s="2">
        <v>7</v>
      </c>
    </row>
    <row r="42" spans="2:6" x14ac:dyDescent="0.2">
      <c r="B42" s="2" t="s">
        <v>29</v>
      </c>
      <c r="C42" s="2">
        <v>1</v>
      </c>
    </row>
    <row r="43" spans="2:6" x14ac:dyDescent="0.2">
      <c r="B43" s="2" t="s">
        <v>56</v>
      </c>
      <c r="C43" s="2">
        <v>1</v>
      </c>
    </row>
    <row r="44" spans="2:6" x14ac:dyDescent="0.2">
      <c r="B44" s="2" t="s">
        <v>31</v>
      </c>
      <c r="C44" s="2">
        <v>2</v>
      </c>
    </row>
    <row r="45" spans="2:6" x14ac:dyDescent="0.2">
      <c r="B45" s="2" t="s">
        <v>34</v>
      </c>
      <c r="C45" s="2">
        <v>5</v>
      </c>
    </row>
    <row r="46" spans="2:6" x14ac:dyDescent="0.2">
      <c r="B46" s="4" t="s">
        <v>68</v>
      </c>
      <c r="C46" s="4">
        <f xml:space="preserve"> F33+ROWS(B41:B45)</f>
        <v>10</v>
      </c>
    </row>
    <row r="47" spans="2:6" x14ac:dyDescent="0.2">
      <c r="B47" s="4" t="s">
        <v>69</v>
      </c>
      <c r="C47" s="4">
        <f xml:space="preserve"> C40*F33+SUM(C41:C45)</f>
        <v>136</v>
      </c>
    </row>
    <row r="48" spans="2:6" x14ac:dyDescent="0.2">
      <c r="B48" s="4"/>
      <c r="C48" s="4"/>
    </row>
    <row r="49" spans="2:3" x14ac:dyDescent="0.2">
      <c r="B49" s="9" t="s">
        <v>70</v>
      </c>
      <c r="C49" s="9" t="s">
        <v>28</v>
      </c>
    </row>
    <row r="50" spans="2:3" x14ac:dyDescent="0.2">
      <c r="B50" s="24" t="s">
        <v>71</v>
      </c>
      <c r="C50" s="24">
        <v>3</v>
      </c>
    </row>
    <row r="51" spans="2:3" x14ac:dyDescent="0.2">
      <c r="B51" s="24" t="s">
        <v>31</v>
      </c>
      <c r="C51" s="24">
        <v>2</v>
      </c>
    </row>
    <row r="52" spans="2:3" x14ac:dyDescent="0.2">
      <c r="B52" s="4" t="s">
        <v>72</v>
      </c>
      <c r="C52" s="4">
        <f>ROWS(B51:B51)+F36</f>
        <v>6</v>
      </c>
    </row>
    <row r="53" spans="2:3" x14ac:dyDescent="0.2">
      <c r="B53" s="4" t="s">
        <v>73</v>
      </c>
      <c r="C53" s="4">
        <f>F36*C50+C51</f>
        <v>17</v>
      </c>
    </row>
    <row r="54" spans="2:3" x14ac:dyDescent="0.2">
      <c r="B54" s="4"/>
      <c r="C54" s="4"/>
    </row>
    <row r="55" spans="2:3" x14ac:dyDescent="0.2">
      <c r="B55" s="9" t="s">
        <v>74</v>
      </c>
      <c r="C55" s="9" t="s">
        <v>28</v>
      </c>
    </row>
    <row r="56" spans="2:3" x14ac:dyDescent="0.2">
      <c r="B56" s="24" t="s">
        <v>31</v>
      </c>
      <c r="C56" s="24">
        <v>5</v>
      </c>
    </row>
    <row r="57" spans="2:3" x14ac:dyDescent="0.2">
      <c r="B57" s="24" t="s">
        <v>34</v>
      </c>
      <c r="C57" s="24">
        <v>5</v>
      </c>
    </row>
    <row r="58" spans="2:3" x14ac:dyDescent="0.2">
      <c r="B58" s="4" t="s">
        <v>75</v>
      </c>
      <c r="C58" s="25">
        <f>ROWS(B56:B57)</f>
        <v>2</v>
      </c>
    </row>
    <row r="59" spans="2:3" x14ac:dyDescent="0.2">
      <c r="B59" s="4" t="s">
        <v>76</v>
      </c>
      <c r="C59" s="25">
        <f>SUM(C56:C57)</f>
        <v>10</v>
      </c>
    </row>
    <row r="60" spans="2:3" x14ac:dyDescent="0.2">
      <c r="B60" s="4"/>
    </row>
    <row r="61" spans="2:3" x14ac:dyDescent="0.2">
      <c r="B61" s="9" t="s">
        <v>77</v>
      </c>
      <c r="C61" s="9" t="s">
        <v>28</v>
      </c>
    </row>
    <row r="62" spans="2:3" x14ac:dyDescent="0.2">
      <c r="B62" s="2" t="s">
        <v>78</v>
      </c>
      <c r="C62" s="2">
        <v>8</v>
      </c>
    </row>
    <row r="63" spans="2:3" x14ac:dyDescent="0.2">
      <c r="B63" s="4" t="s">
        <v>79</v>
      </c>
      <c r="C63" s="4">
        <v>1</v>
      </c>
    </row>
    <row r="64" spans="2:3" x14ac:dyDescent="0.2">
      <c r="B64" s="4" t="s">
        <v>80</v>
      </c>
      <c r="C64" s="4">
        <v>8</v>
      </c>
    </row>
    <row r="66" spans="2:3" x14ac:dyDescent="0.2">
      <c r="B66" s="9" t="s">
        <v>81</v>
      </c>
      <c r="C66" s="9" t="s">
        <v>28</v>
      </c>
    </row>
    <row r="67" spans="2:3" x14ac:dyDescent="0.2">
      <c r="B67" s="2" t="s">
        <v>82</v>
      </c>
      <c r="C67" s="2">
        <v>13</v>
      </c>
    </row>
    <row r="68" spans="2:3" x14ac:dyDescent="0.2">
      <c r="B68" s="4" t="s">
        <v>83</v>
      </c>
      <c r="C68" s="4">
        <v>1</v>
      </c>
    </row>
    <row r="69" spans="2:3" x14ac:dyDescent="0.2">
      <c r="B69" s="4" t="s">
        <v>84</v>
      </c>
      <c r="C69" s="4">
        <v>13</v>
      </c>
    </row>
    <row r="70" spans="2:3" x14ac:dyDescent="0.2">
      <c r="B70" s="4"/>
      <c r="C70" s="4"/>
    </row>
    <row r="71" spans="2:3" x14ac:dyDescent="0.2">
      <c r="B71" s="23"/>
    </row>
    <row r="72" spans="2:3" x14ac:dyDescent="0.2">
      <c r="B72" s="4"/>
      <c r="C7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 Sizing</vt:lpstr>
      <vt:lpstr>Cisco Meraki 9.0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Keerthi Priya Gajula</dc:creator>
  <cp:keywords/>
  <dc:description/>
  <cp:lastModifiedBy>Keerthi Priya Gajula</cp:lastModifiedBy>
  <cp:revision/>
  <dcterms:created xsi:type="dcterms:W3CDTF">2026-04-06T07:19:12Z</dcterms:created>
  <dcterms:modified xsi:type="dcterms:W3CDTF">2026-09-01T08:55:09Z</dcterms:modified>
  <cp:category/>
  <cp:contentStatus/>
</cp:coreProperties>
</file>