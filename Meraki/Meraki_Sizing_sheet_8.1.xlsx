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jkumar/Downloads/"/>
    </mc:Choice>
  </mc:AlternateContent>
  <xr:revisionPtr revIDLastSave="0" documentId="13_ncr:1_{2B7E0A75-0DFD-0D43-A81F-7E3EB795C759}" xr6:coauthVersionLast="47" xr6:coauthVersionMax="47" xr10:uidLastSave="{00000000-0000-0000-0000-000000000000}"/>
  <bookViews>
    <workbookView xWindow="0" yWindow="760" windowWidth="34560" windowHeight="19880" tabRatio="990" activeTab="1" xr2:uid="{00000000-000D-0000-FFFF-FFFF00000000}"/>
  </bookViews>
  <sheets>
    <sheet name="PAS sizing" sheetId="1" r:id="rId1"/>
    <sheet name="Cisco Meraki" sheetId="1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8" i="12" l="1"/>
  <c r="C7" i="12"/>
  <c r="C6" i="12"/>
  <c r="C5" i="12"/>
  <c r="C17" i="12"/>
  <c r="C16" i="12"/>
  <c r="C44" i="12"/>
  <c r="C43" i="12"/>
  <c r="C34" i="12"/>
  <c r="C33" i="12"/>
  <c r="C23" i="12"/>
  <c r="C22" i="12"/>
</calcChain>
</file>

<file path=xl/sharedStrings.xml><?xml version="1.0" encoding="utf-8"?>
<sst xmlns="http://schemas.openxmlformats.org/spreadsheetml/2006/main" count="89" uniqueCount="70">
  <si>
    <t>Appliance</t>
  </si>
  <si>
    <t>Maximum</t>
  </si>
  <si>
    <t>Indicators/Sec</t>
  </si>
  <si>
    <t>Object count</t>
  </si>
  <si>
    <t>PAS 5K, vPAS 5k</t>
  </si>
  <si>
    <t>5K</t>
  </si>
  <si>
    <t>PAS 10K, vPAS 10k</t>
  </si>
  <si>
    <t>10K</t>
  </si>
  <si>
    <t>PAS 20K, vPAS 20k</t>
  </si>
  <si>
    <t>20K</t>
  </si>
  <si>
    <t>PAS 40K</t>
  </si>
  <si>
    <t>40K</t>
  </si>
  <si>
    <t xml:space="preserve">PAS 60K </t>
  </si>
  <si>
    <t>50K</t>
  </si>
  <si>
    <t>vPAS100k</t>
  </si>
  <si>
    <t>100K</t>
  </si>
  <si>
    <t>PAS 200K</t>
  </si>
  <si>
    <t>200K</t>
  </si>
  <si>
    <t>PAS 300K</t>
  </si>
  <si>
    <t>300K</t>
  </si>
  <si>
    <t>Legend</t>
  </si>
  <si>
    <t>Provide the device and polling interval in the - Yellow fields</t>
  </si>
  <si>
    <t>Calculated output for IPS for PAS sizing</t>
  </si>
  <si>
    <t>Total Devices</t>
  </si>
  <si>
    <t>Total Objects</t>
  </si>
  <si>
    <t>Total Indicators</t>
  </si>
  <si>
    <t>Total Indicators Per Second</t>
  </si>
  <si>
    <t>SD-WAN Appliances (MX) Objects</t>
  </si>
  <si>
    <t>Indicators</t>
  </si>
  <si>
    <t>SNMP Availability</t>
  </si>
  <si>
    <t>Ping Data</t>
  </si>
  <si>
    <t>Device Health</t>
  </si>
  <si>
    <t>Device Types</t>
  </si>
  <si>
    <t>Device Count</t>
  </si>
  <si>
    <t>Memory</t>
  </si>
  <si>
    <t>SD-WAN Edges (MX)</t>
  </si>
  <si>
    <t>Interface</t>
  </si>
  <si>
    <t xml:space="preserve">IOT (MT10, MT14) </t>
  </si>
  <si>
    <t>Total  no.of objects per SD-WAN device</t>
  </si>
  <si>
    <t>Wi-Fi AP (CW)</t>
  </si>
  <si>
    <t>Total no.of indicators per SD-WAN device</t>
  </si>
  <si>
    <t>Switches (MS)</t>
  </si>
  <si>
    <t>Meraki Networks with Wi-Fi AP's</t>
  </si>
  <si>
    <t>IoT (MT10, MT14) Objects</t>
  </si>
  <si>
    <t>Sensor</t>
  </si>
  <si>
    <t>Total  no.of objects per IoT device</t>
  </si>
  <si>
    <t>Polling Interval (s)</t>
  </si>
  <si>
    <t>Total  no.of indicators per IoT device</t>
  </si>
  <si>
    <t>Polling Interval in seconds for Meraki devices</t>
  </si>
  <si>
    <t>No. of Meraki Accounts added as Integrations</t>
  </si>
  <si>
    <t>Wi-Fi AP (CW) Objects</t>
  </si>
  <si>
    <t>Meraki Object Type</t>
  </si>
  <si>
    <t>System</t>
  </si>
  <si>
    <t>Approx. Interfaces per SD-WAN Edge</t>
  </si>
  <si>
    <t>Packet Loss</t>
  </si>
  <si>
    <t>Approx. of Interfaces per AP</t>
  </si>
  <si>
    <t>Approx. of Interfaces per Switch</t>
  </si>
  <si>
    <t>Total  no.of objects per AP</t>
  </si>
  <si>
    <t>Total  no.of indicators per AP</t>
  </si>
  <si>
    <t>Switch(MS) Objects</t>
  </si>
  <si>
    <t>Total  no.of objects per Switch</t>
  </si>
  <si>
    <t>Total  no.of indicators per Switch</t>
  </si>
  <si>
    <t>Wireless Network Object Types</t>
  </si>
  <si>
    <t>Wireless</t>
  </si>
  <si>
    <t>Total no.of objects per AP Network</t>
  </si>
  <si>
    <t>Total no.of indicators per AP Network</t>
  </si>
  <si>
    <t>Meraki Orchestrator Object Types</t>
  </si>
  <si>
    <t>Website Data</t>
  </si>
  <si>
    <t>Total no.of objects per Meraki Orchestrator</t>
  </si>
  <si>
    <t>Total no.of indicators per Meraki Orchestrator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</si>
</sst>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rgb="FF000000"/>
      <name val="Arial"/>
      <family val="2"/>
      <charset val="1"/>
    </font>
    <font>
      <b/>
      <sz val="18"/>
      <color rgb="FFFFFFFF"/>
      <name val="Arial"/>
      <family val="2"/>
      <charset val="1"/>
    </font>
    <font>
      <sz val="16"/>
      <color rgb="FF000000"/>
      <name val="Arial"/>
      <family val="2"/>
      <charset val="1"/>
    </font>
    <font>
      <b/>
      <sz val="12"/>
      <color rgb="FF000000"/>
      <name val="Arial"/>
      <family val="2"/>
      <charset val="1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242424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4375A7"/>
        <bgColor rgb="FF3366FF"/>
      </patternFill>
    </fill>
    <fill>
      <patternFill patternType="solid">
        <fgColor rgb="FFCFD6E1"/>
        <bgColor rgb="FFE9ECF1"/>
      </patternFill>
    </fill>
    <fill>
      <patternFill patternType="solid">
        <fgColor rgb="FFE9ECF1"/>
        <bgColor rgb="FFFFFFFF"/>
      </patternFill>
    </fill>
    <fill>
      <patternFill patternType="solid">
        <fgColor rgb="FFB2B2B2"/>
        <bgColor rgb="FFB7B7B7"/>
      </patternFill>
    </fill>
    <fill>
      <patternFill patternType="solid">
        <fgColor rgb="FF33FF99"/>
        <bgColor rgb="FF00FFFF"/>
      </patternFill>
    </fill>
    <fill>
      <patternFill patternType="solid">
        <fgColor rgb="FFFFFF00"/>
        <bgColor indexed="64"/>
      </patternFill>
    </fill>
    <fill>
      <patternFill patternType="solid">
        <fgColor rgb="FF33FF99"/>
        <bgColor indexed="64"/>
      </patternFill>
    </fill>
  </fills>
  <borders count="7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left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left" vertical="center" wrapText="1"/>
    </xf>
    <xf numFmtId="3" fontId="2" fillId="3" borderId="5" xfId="0" applyNumberFormat="1" applyFont="1" applyFill="1" applyBorder="1" applyAlignment="1">
      <alignment horizontal="center" vertical="center" wrapText="1"/>
    </xf>
    <xf numFmtId="3" fontId="2" fillId="4" borderId="5" xfId="0" applyNumberFormat="1" applyFont="1" applyFill="1" applyBorder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6" borderId="0" xfId="0" applyFont="1" applyFill="1"/>
    <xf numFmtId="3" fontId="5" fillId="6" borderId="0" xfId="0" applyNumberFormat="1" applyFont="1" applyFill="1"/>
    <xf numFmtId="4" fontId="5" fillId="6" borderId="0" xfId="0" applyNumberFormat="1" applyFont="1" applyFill="1"/>
    <xf numFmtId="0" fontId="5" fillId="5" borderId="0" xfId="0" applyFont="1" applyFill="1"/>
    <xf numFmtId="0" fontId="5" fillId="5" borderId="0" xfId="0" applyFont="1" applyFill="1" applyAlignment="1">
      <alignment horizontal="left"/>
    </xf>
    <xf numFmtId="0" fontId="4" fillId="7" borderId="0" xfId="0" applyFont="1" applyFill="1"/>
    <xf numFmtId="3" fontId="4" fillId="7" borderId="0" xfId="0" applyNumberFormat="1" applyFont="1" applyFill="1"/>
    <xf numFmtId="3" fontId="0" fillId="7" borderId="6" xfId="0" applyNumberFormat="1" applyFill="1" applyBorder="1"/>
    <xf numFmtId="0" fontId="6" fillId="8" borderId="6" xfId="0" applyFont="1" applyFill="1" applyBorder="1"/>
    <xf numFmtId="3" fontId="4" fillId="0" borderId="0" xfId="0" applyNumberFormat="1" applyFont="1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E9ECF1"/>
      <rgbColor rgb="FF660066"/>
      <rgbColor rgb="FFFF8080"/>
      <rgbColor rgb="FF0066CC"/>
      <rgbColor rgb="FFCFD6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FF99"/>
      <rgbColor rgb="FF99CC00"/>
      <rgbColor rgb="FFFFCC00"/>
      <rgbColor rgb="FFFF9900"/>
      <rgbColor rgb="FFFF6600"/>
      <rgbColor rgb="FF4375A7"/>
      <rgbColor rgb="FFB2B2B2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3FF99"/>
      <color rgb="FF90EE90"/>
      <color rgb="FF66FF99"/>
      <color rgb="FF90EE02"/>
      <color rgb="FF4FD176"/>
      <color rgb="FF4FD197"/>
      <color rgb="FF99D14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E15"/>
  <sheetViews>
    <sheetView topLeftCell="A2" zoomScale="80" zoomScaleNormal="80" workbookViewId="0">
      <selection activeCell="E12" sqref="E12"/>
    </sheetView>
  </sheetViews>
  <sheetFormatPr baseColWidth="10" defaultColWidth="8.7109375" defaultRowHeight="16" x14ac:dyDescent="0.2"/>
  <cols>
    <col min="1" max="2" width="13"/>
    <col min="3" max="3" width="50.28515625"/>
    <col min="4" max="4" width="52.42578125"/>
    <col min="5" max="5" width="43.42578125"/>
    <col min="6" max="26" width="13"/>
  </cols>
  <sheetData>
    <row r="1" spans="3:5" ht="15.75" customHeight="1" x14ac:dyDescent="0.2"/>
    <row r="2" spans="3:5" ht="15.75" customHeight="1" x14ac:dyDescent="0.2"/>
    <row r="3" spans="3:5" ht="37.5" customHeight="1" x14ac:dyDescent="0.2">
      <c r="C3" s="23" t="s">
        <v>0</v>
      </c>
      <c r="D3" s="1" t="s">
        <v>1</v>
      </c>
      <c r="E3" s="1" t="s">
        <v>1</v>
      </c>
    </row>
    <row r="4" spans="3:5" ht="30" customHeight="1" x14ac:dyDescent="0.2">
      <c r="C4" s="23"/>
      <c r="D4" s="2" t="s">
        <v>2</v>
      </c>
      <c r="E4" s="2" t="s">
        <v>3</v>
      </c>
    </row>
    <row r="5" spans="3:5" ht="39.75" customHeight="1" x14ac:dyDescent="0.2">
      <c r="C5" s="3" t="s">
        <v>4</v>
      </c>
      <c r="D5" s="4">
        <v>333</v>
      </c>
      <c r="E5" s="4" t="s">
        <v>5</v>
      </c>
    </row>
    <row r="6" spans="3:5" ht="36.75" customHeight="1" x14ac:dyDescent="0.2">
      <c r="C6" s="5" t="s">
        <v>6</v>
      </c>
      <c r="D6" s="6">
        <v>667</v>
      </c>
      <c r="E6" s="6" t="s">
        <v>7</v>
      </c>
    </row>
    <row r="7" spans="3:5" ht="45" customHeight="1" x14ac:dyDescent="0.2">
      <c r="C7" s="7" t="s">
        <v>8</v>
      </c>
      <c r="D7" s="8">
        <v>1333</v>
      </c>
      <c r="E7" s="8" t="s">
        <v>9</v>
      </c>
    </row>
    <row r="8" spans="3:5" ht="15.75" customHeight="1" x14ac:dyDescent="0.2">
      <c r="C8" s="5" t="s">
        <v>10</v>
      </c>
      <c r="D8" s="9">
        <v>2666</v>
      </c>
      <c r="E8" s="9" t="s">
        <v>11</v>
      </c>
    </row>
    <row r="9" spans="3:5" ht="15.75" customHeight="1" x14ac:dyDescent="0.2">
      <c r="C9" s="7" t="s">
        <v>12</v>
      </c>
      <c r="D9" s="8">
        <v>4000</v>
      </c>
      <c r="E9" s="8" t="s">
        <v>13</v>
      </c>
    </row>
    <row r="10" spans="3:5" ht="15.75" customHeight="1" x14ac:dyDescent="0.2">
      <c r="C10" s="5" t="s">
        <v>14</v>
      </c>
      <c r="D10" s="9">
        <v>6667</v>
      </c>
      <c r="E10" s="9" t="s">
        <v>15</v>
      </c>
    </row>
    <row r="11" spans="3:5" ht="15.75" customHeight="1" x14ac:dyDescent="0.2">
      <c r="C11" s="7" t="s">
        <v>16</v>
      </c>
      <c r="D11" s="8">
        <v>13333</v>
      </c>
      <c r="E11" s="8" t="s">
        <v>17</v>
      </c>
    </row>
    <row r="12" spans="3:5" ht="15.75" customHeight="1" x14ac:dyDescent="0.2">
      <c r="C12" s="5" t="s">
        <v>18</v>
      </c>
      <c r="D12" s="9">
        <v>20000</v>
      </c>
      <c r="E12" s="9" t="s">
        <v>19</v>
      </c>
    </row>
    <row r="15" spans="3:5" ht="15.75" customHeight="1" x14ac:dyDescent="0.2"/>
  </sheetData>
  <mergeCells count="1">
    <mergeCell ref="C3:C4"/>
  </mergeCells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ACA17-B635-944F-A77D-9333B09F5EF9}">
  <dimension ref="B1:F57"/>
  <sheetViews>
    <sheetView tabSelected="1" workbookViewId="0">
      <selection activeCell="E31" sqref="E31"/>
    </sheetView>
  </sheetViews>
  <sheetFormatPr baseColWidth="10" defaultColWidth="11.5703125" defaultRowHeight="16" x14ac:dyDescent="0.2"/>
  <cols>
    <col min="1" max="1" width="11.5703125" style="11"/>
    <col min="2" max="2" width="35" style="11" customWidth="1"/>
    <col min="3" max="3" width="44.42578125" style="11" bestFit="1" customWidth="1"/>
    <col min="4" max="4" width="11.5703125" style="11"/>
    <col min="5" max="5" width="47.7109375" style="11" customWidth="1"/>
    <col min="6" max="6" width="15.140625" style="11" customWidth="1"/>
    <col min="7" max="16384" width="11.5703125" style="11"/>
  </cols>
  <sheetData>
    <row r="1" spans="2:6" x14ac:dyDescent="0.2">
      <c r="B1" s="10" t="s">
        <v>20</v>
      </c>
      <c r="C1"/>
    </row>
    <row r="2" spans="2:6" x14ac:dyDescent="0.2">
      <c r="B2" s="20"/>
      <c r="C2" s="12" t="s">
        <v>21</v>
      </c>
    </row>
    <row r="3" spans="2:6" x14ac:dyDescent="0.2">
      <c r="B3" s="21"/>
      <c r="C3" s="12" t="s">
        <v>22</v>
      </c>
    </row>
    <row r="4" spans="2:6" x14ac:dyDescent="0.2">
      <c r="B4" s="12"/>
      <c r="C4" s="12"/>
    </row>
    <row r="5" spans="2:6" x14ac:dyDescent="0.2">
      <c r="B5" s="13" t="s">
        <v>23</v>
      </c>
      <c r="C5" s="14">
        <f>(SUM(F14:F18))</f>
        <v>8203</v>
      </c>
    </row>
    <row r="6" spans="2:6" x14ac:dyDescent="0.2">
      <c r="B6" s="13" t="s">
        <v>24</v>
      </c>
      <c r="C6" s="14">
        <f>(F14*C16+F15*C22+F16*C33+F17*C43+F18*C48+1)</f>
        <v>169606</v>
      </c>
    </row>
    <row r="7" spans="2:6" x14ac:dyDescent="0.2">
      <c r="B7" s="13" t="s">
        <v>25</v>
      </c>
      <c r="C7" s="14">
        <f xml:space="preserve"> (F14*C17+F15*C23+F16*C34+F17*C44+F18*C49+C52)</f>
        <v>3257029</v>
      </c>
    </row>
    <row r="8" spans="2:6" x14ac:dyDescent="0.2">
      <c r="B8" s="13" t="s">
        <v>26</v>
      </c>
      <c r="C8" s="15">
        <f xml:space="preserve"> ((F14*C17)/F23+(F15*C23)/F23+(F16*C34)/F23+(F17*C44)/F23+(F18*C49)/F23+C52/F23)</f>
        <v>10856.763333333334</v>
      </c>
    </row>
    <row r="9" spans="2:6" x14ac:dyDescent="0.2">
      <c r="E9" s="12"/>
      <c r="F9" s="12"/>
    </row>
    <row r="10" spans="2:6" x14ac:dyDescent="0.2">
      <c r="B10" s="16" t="s">
        <v>27</v>
      </c>
      <c r="C10" s="17" t="s">
        <v>28</v>
      </c>
      <c r="F10" s="12"/>
    </row>
    <row r="11" spans="2:6" x14ac:dyDescent="0.2">
      <c r="B11" s="11" t="s">
        <v>29</v>
      </c>
      <c r="C11" s="11">
        <v>1</v>
      </c>
      <c r="F11" s="12"/>
    </row>
    <row r="12" spans="2:6" x14ac:dyDescent="0.2">
      <c r="B12" s="11" t="s">
        <v>30</v>
      </c>
      <c r="C12" s="11">
        <v>7</v>
      </c>
      <c r="F12" s="22"/>
    </row>
    <row r="13" spans="2:6" x14ac:dyDescent="0.2">
      <c r="B13" s="11" t="s">
        <v>31</v>
      </c>
      <c r="C13" s="11">
        <v>2</v>
      </c>
      <c r="E13" s="16" t="s">
        <v>32</v>
      </c>
      <c r="F13" s="16" t="s">
        <v>33</v>
      </c>
    </row>
    <row r="14" spans="2:6" x14ac:dyDescent="0.2">
      <c r="B14" s="11" t="s">
        <v>34</v>
      </c>
      <c r="C14" s="11">
        <v>4</v>
      </c>
      <c r="E14" s="11" t="s">
        <v>35</v>
      </c>
      <c r="F14" s="19">
        <v>4000</v>
      </c>
    </row>
    <row r="15" spans="2:6" x14ac:dyDescent="0.2">
      <c r="B15" s="11" t="s">
        <v>36</v>
      </c>
      <c r="C15" s="11">
        <v>24</v>
      </c>
      <c r="E15" s="11" t="s">
        <v>37</v>
      </c>
      <c r="F15" s="19">
        <v>2</v>
      </c>
    </row>
    <row r="16" spans="2:6" x14ac:dyDescent="0.2">
      <c r="B16" s="12" t="s">
        <v>38</v>
      </c>
      <c r="C16" s="12">
        <f xml:space="preserve"> (ROWS(B11:B14))+F29</f>
        <v>32</v>
      </c>
      <c r="E16" s="11" t="s">
        <v>39</v>
      </c>
      <c r="F16" s="19">
        <v>200</v>
      </c>
    </row>
    <row r="17" spans="2:6" x14ac:dyDescent="0.2">
      <c r="B17" s="12" t="s">
        <v>40</v>
      </c>
      <c r="C17" s="12">
        <f xml:space="preserve"> (ROWS(C11:C14))+C15*F29</f>
        <v>676</v>
      </c>
      <c r="E17" s="11" t="s">
        <v>41</v>
      </c>
      <c r="F17" s="19">
        <v>4000</v>
      </c>
    </row>
    <row r="18" spans="2:6" x14ac:dyDescent="0.2">
      <c r="B18" s="12"/>
      <c r="C18" s="12"/>
      <c r="E18" s="11" t="s">
        <v>42</v>
      </c>
      <c r="F18" s="19">
        <v>1</v>
      </c>
    </row>
    <row r="19" spans="2:6" x14ac:dyDescent="0.2">
      <c r="B19" s="16" t="s">
        <v>43</v>
      </c>
      <c r="C19" s="17" t="s">
        <v>28</v>
      </c>
      <c r="F19" s="22"/>
    </row>
    <row r="20" spans="2:6" x14ac:dyDescent="0.2">
      <c r="B20" s="11" t="s">
        <v>31</v>
      </c>
      <c r="C20" s="11">
        <v>2</v>
      </c>
      <c r="F20" s="22"/>
    </row>
    <row r="21" spans="2:6" x14ac:dyDescent="0.2">
      <c r="B21" s="11" t="s">
        <v>44</v>
      </c>
      <c r="C21" s="11">
        <v>2</v>
      </c>
      <c r="F21" s="22"/>
    </row>
    <row r="22" spans="2:6" x14ac:dyDescent="0.2">
      <c r="B22" s="12" t="s">
        <v>45</v>
      </c>
      <c r="C22" s="12">
        <f xml:space="preserve"> ROWS(B20:B21)</f>
        <v>2</v>
      </c>
      <c r="E22" s="16"/>
      <c r="F22" s="16" t="s">
        <v>46</v>
      </c>
    </row>
    <row r="23" spans="2:6" x14ac:dyDescent="0.2">
      <c r="B23" s="12" t="s">
        <v>47</v>
      </c>
      <c r="C23" s="12">
        <f xml:space="preserve"> C20+C21</f>
        <v>4</v>
      </c>
      <c r="E23" s="11" t="s">
        <v>48</v>
      </c>
      <c r="F23" s="18">
        <v>300</v>
      </c>
    </row>
    <row r="24" spans="2:6" x14ac:dyDescent="0.2">
      <c r="B24" s="12"/>
      <c r="C24" s="12"/>
      <c r="E24" s="11" t="s">
        <v>49</v>
      </c>
      <c r="F24" s="18">
        <v>1</v>
      </c>
    </row>
    <row r="25" spans="2:6" x14ac:dyDescent="0.2">
      <c r="B25" s="16" t="s">
        <v>50</v>
      </c>
      <c r="C25" s="16" t="s">
        <v>28</v>
      </c>
    </row>
    <row r="26" spans="2:6" x14ac:dyDescent="0.2">
      <c r="B26" s="11" t="s">
        <v>36</v>
      </c>
      <c r="C26" s="11">
        <v>24</v>
      </c>
      <c r="E26" s="12"/>
      <c r="F26" s="12"/>
    </row>
    <row r="27" spans="2:6" x14ac:dyDescent="0.2">
      <c r="B27" s="11" t="s">
        <v>30</v>
      </c>
      <c r="C27" s="11">
        <v>7</v>
      </c>
      <c r="E27" s="12"/>
      <c r="F27" s="12"/>
    </row>
    <row r="28" spans="2:6" x14ac:dyDescent="0.2">
      <c r="B28" s="11" t="s">
        <v>29</v>
      </c>
      <c r="C28" s="11">
        <v>1</v>
      </c>
      <c r="E28" s="16" t="s">
        <v>51</v>
      </c>
      <c r="F28" s="16" t="s">
        <v>3</v>
      </c>
    </row>
    <row r="29" spans="2:6" x14ac:dyDescent="0.2">
      <c r="B29" s="11" t="s">
        <v>52</v>
      </c>
      <c r="C29" s="11">
        <v>1</v>
      </c>
      <c r="E29" s="11" t="s">
        <v>53</v>
      </c>
      <c r="F29" s="18">
        <v>28</v>
      </c>
    </row>
    <row r="30" spans="2:6" x14ac:dyDescent="0.2">
      <c r="B30" s="11" t="s">
        <v>54</v>
      </c>
      <c r="C30" s="11">
        <v>2</v>
      </c>
      <c r="E30" s="11" t="s">
        <v>55</v>
      </c>
      <c r="F30" s="18">
        <v>2</v>
      </c>
    </row>
    <row r="31" spans="2:6" x14ac:dyDescent="0.2">
      <c r="B31" s="11" t="s">
        <v>31</v>
      </c>
      <c r="C31" s="11">
        <v>2</v>
      </c>
      <c r="E31" s="11" t="s">
        <v>56</v>
      </c>
      <c r="F31" s="18">
        <v>5</v>
      </c>
    </row>
    <row r="32" spans="2:6" x14ac:dyDescent="0.2">
      <c r="B32" s="11" t="s">
        <v>34</v>
      </c>
      <c r="C32" s="11">
        <v>4</v>
      </c>
    </row>
    <row r="33" spans="2:3" x14ac:dyDescent="0.2">
      <c r="B33" s="12" t="s">
        <v>57</v>
      </c>
      <c r="C33" s="12">
        <f xml:space="preserve"> F30+ROWS(B27:B32)</f>
        <v>8</v>
      </c>
    </row>
    <row r="34" spans="2:3" x14ac:dyDescent="0.2">
      <c r="B34" s="12" t="s">
        <v>58</v>
      </c>
      <c r="C34" s="12">
        <f xml:space="preserve"> F30*C26+SUM(C27:C32)</f>
        <v>65</v>
      </c>
    </row>
    <row r="35" spans="2:3" x14ac:dyDescent="0.2">
      <c r="B35" s="12"/>
    </row>
    <row r="36" spans="2:3" x14ac:dyDescent="0.2">
      <c r="B36" s="16" t="s">
        <v>59</v>
      </c>
      <c r="C36" s="16" t="s">
        <v>28</v>
      </c>
    </row>
    <row r="37" spans="2:3" x14ac:dyDescent="0.2">
      <c r="B37" s="11" t="s">
        <v>36</v>
      </c>
      <c r="C37" s="11">
        <v>24</v>
      </c>
    </row>
    <row r="38" spans="2:3" x14ac:dyDescent="0.2">
      <c r="B38" s="11" t="s">
        <v>30</v>
      </c>
      <c r="C38" s="11">
        <v>7</v>
      </c>
    </row>
    <row r="39" spans="2:3" x14ac:dyDescent="0.2">
      <c r="B39" s="11" t="s">
        <v>29</v>
      </c>
      <c r="C39" s="11">
        <v>1</v>
      </c>
    </row>
    <row r="40" spans="2:3" x14ac:dyDescent="0.2">
      <c r="B40" s="11" t="s">
        <v>52</v>
      </c>
      <c r="C40" s="11">
        <v>1</v>
      </c>
    </row>
    <row r="41" spans="2:3" x14ac:dyDescent="0.2">
      <c r="B41" s="11" t="s">
        <v>31</v>
      </c>
      <c r="C41" s="11">
        <v>2</v>
      </c>
    </row>
    <row r="42" spans="2:3" x14ac:dyDescent="0.2">
      <c r="B42" s="11" t="s">
        <v>34</v>
      </c>
      <c r="C42" s="11">
        <v>4</v>
      </c>
    </row>
    <row r="43" spans="2:3" x14ac:dyDescent="0.2">
      <c r="B43" s="12" t="s">
        <v>60</v>
      </c>
      <c r="C43" s="12">
        <f xml:space="preserve"> F31+ROWS(B38:B42)</f>
        <v>10</v>
      </c>
    </row>
    <row r="44" spans="2:3" x14ac:dyDescent="0.2">
      <c r="B44" s="12" t="s">
        <v>61</v>
      </c>
      <c r="C44" s="12">
        <f xml:space="preserve"> C37*F31+SUM(C38:C42)</f>
        <v>135</v>
      </c>
    </row>
    <row r="45" spans="2:3" x14ac:dyDescent="0.2">
      <c r="B45" s="12"/>
    </row>
    <row r="46" spans="2:3" x14ac:dyDescent="0.2">
      <c r="B46" s="16" t="s">
        <v>62</v>
      </c>
      <c r="C46" s="16" t="s">
        <v>28</v>
      </c>
    </row>
    <row r="47" spans="2:3" x14ac:dyDescent="0.2">
      <c r="B47" s="11" t="s">
        <v>63</v>
      </c>
      <c r="C47" s="11">
        <v>8</v>
      </c>
    </row>
    <row r="48" spans="2:3" x14ac:dyDescent="0.2">
      <c r="B48" s="12" t="s">
        <v>64</v>
      </c>
      <c r="C48" s="12">
        <v>1</v>
      </c>
    </row>
    <row r="49" spans="2:3" x14ac:dyDescent="0.2">
      <c r="B49" s="12" t="s">
        <v>65</v>
      </c>
      <c r="C49" s="12">
        <v>8</v>
      </c>
    </row>
    <row r="51" spans="2:3" x14ac:dyDescent="0.2">
      <c r="B51" s="16" t="s">
        <v>66</v>
      </c>
      <c r="C51" s="16" t="s">
        <v>28</v>
      </c>
    </row>
    <row r="52" spans="2:3" x14ac:dyDescent="0.2">
      <c r="B52" s="11" t="s">
        <v>67</v>
      </c>
      <c r="C52" s="11">
        <v>13</v>
      </c>
    </row>
    <row r="53" spans="2:3" x14ac:dyDescent="0.2">
      <c r="B53" s="12" t="s">
        <v>68</v>
      </c>
      <c r="C53" s="12">
        <v>1</v>
      </c>
    </row>
    <row r="54" spans="2:3" x14ac:dyDescent="0.2">
      <c r="B54" s="12" t="s">
        <v>69</v>
      </c>
      <c r="C54" s="12">
        <v>13</v>
      </c>
    </row>
    <row r="55" spans="2:3" x14ac:dyDescent="0.2">
      <c r="B55" s="12"/>
      <c r="C55" s="12"/>
    </row>
    <row r="57" spans="2:3" x14ac:dyDescent="0.2">
      <c r="B57" s="12"/>
      <c r="C57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PAS sizing</vt:lpstr>
      <vt:lpstr>Cisco Meraki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Rajkumar KK</cp:lastModifiedBy>
  <cp:revision>5</cp:revision>
  <dcterms:created xsi:type="dcterms:W3CDTF">2021-06-11T06:42:20Z</dcterms:created>
  <dcterms:modified xsi:type="dcterms:W3CDTF">2025-12-01T08:58:39Z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