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namithanagireddy/Downloads/"/>
    </mc:Choice>
  </mc:AlternateContent>
  <xr:revisionPtr revIDLastSave="0" documentId="13_ncr:1_{02CE2F1B-6D21-CD4B-81BE-F6A0F33467AA}" xr6:coauthVersionLast="47" xr6:coauthVersionMax="47" xr10:uidLastSave="{00000000-0000-0000-0000-000000000000}"/>
  <bookViews>
    <workbookView xWindow="0" yWindow="680" windowWidth="29920" windowHeight="17000" firstSheet="1" activeTab="1" xr2:uid="{CD935837-EFB7-7640-805F-6441372B141E}"/>
  </bookViews>
  <sheets>
    <sheet name="PAS sizing" sheetId="3" r:id="rId1"/>
    <sheet name="Aruba Wi-Fi Sizing  " sheetId="2" r:id="rId2"/>
    <sheet name="Cisco Wi-Fi Sizing 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C6" i="1"/>
  <c r="C30" i="2"/>
  <c r="C4" i="2"/>
  <c r="C4" i="1"/>
  <c r="C31" i="2"/>
  <c r="C44" i="2"/>
  <c r="C39" i="2"/>
  <c r="C40" i="2"/>
  <c r="C70" i="1"/>
  <c r="C69" i="1"/>
  <c r="C7" i="2" l="1"/>
  <c r="C6" i="2"/>
  <c r="C5" i="2"/>
  <c r="C61" i="1"/>
  <c r="C62" i="1"/>
</calcChain>
</file>

<file path=xl/sharedStrings.xml><?xml version="1.0" encoding="utf-8"?>
<sst xmlns="http://schemas.openxmlformats.org/spreadsheetml/2006/main" count="201" uniqueCount="166">
  <si>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</si>
  <si>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</si>
  <si>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</si>
  <si>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</si>
  <si>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</si>
  <si>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</si>
  <si>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</si>
  <si>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</si>
  <si>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</si>
  <si>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</si>
  <si>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</si>
  <si>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</si>
  <si>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</si>
  <si>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</si>
  <si>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</si>
  <si>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</si>
  <si>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</si>
  <si>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</si>
  <si>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</si>
  <si>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</si>
  <si>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</si>
  <si>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</si>
  <si>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Total Devices</t>
  </si>
  <si>
    <t>Total Objects</t>
  </si>
  <si>
    <t>Total Indicators</t>
  </si>
  <si>
    <t>Total Indicators Per Second</t>
  </si>
  <si>
    <t>Aruba WLC Objects</t>
  </si>
  <si>
    <t>Indicators</t>
  </si>
  <si>
    <t>Device Types</t>
  </si>
  <si>
    <t>Device Count</t>
  </si>
  <si>
    <t>Interface</t>
  </si>
  <si>
    <t>WLC</t>
  </si>
  <si>
    <t>CPU</t>
  </si>
  <si>
    <t>Access Points</t>
  </si>
  <si>
    <t>Disk</t>
  </si>
  <si>
    <t>Management Station</t>
  </si>
  <si>
    <t>Object Types</t>
  </si>
  <si>
    <t>Object Count</t>
  </si>
  <si>
    <t>Wifi Aggregation</t>
  </si>
  <si>
    <t>Station</t>
  </si>
  <si>
    <t>Wireless</t>
  </si>
  <si>
    <t>Access Point</t>
  </si>
  <si>
    <t>Poll Interval (In secs)</t>
  </si>
  <si>
    <t>Global Switch CPU</t>
  </si>
  <si>
    <t xml:space="preserve">Global Switch Memory </t>
  </si>
  <si>
    <t>Global Switch Packets</t>
  </si>
  <si>
    <t>Aruba WLC Object Types</t>
  </si>
  <si>
    <t>Count</t>
  </si>
  <si>
    <t>Memory</t>
  </si>
  <si>
    <t>Approx. no of Interfaces per WLC</t>
  </si>
  <si>
    <t>Wireless Memory</t>
  </si>
  <si>
    <t>Approx. no of CPU per WLC</t>
  </si>
  <si>
    <t>Switch</t>
  </si>
  <si>
    <t>Approx. no of Disk per WLC</t>
  </si>
  <si>
    <t>Users</t>
  </si>
  <si>
    <t>Approx. no of Management Station per WLC</t>
  </si>
  <si>
    <t xml:space="preserve">Ping Data </t>
  </si>
  <si>
    <t>Approx. no of Wifi Aggregation per WLC</t>
  </si>
  <si>
    <t xml:space="preserve">SNMP Availability     </t>
  </si>
  <si>
    <t>Approx. no of Wireless per WLC</t>
  </si>
  <si>
    <t>Wifi Controller</t>
  </si>
  <si>
    <t>Approx. no of Access Point per WLC</t>
  </si>
  <si>
    <t>AP Totals</t>
  </si>
  <si>
    <t>Authentication</t>
  </si>
  <si>
    <t>Aruba AP Object Types</t>
  </si>
  <si>
    <t>System</t>
  </si>
  <si>
    <t xml:space="preserve">Approx. no of Wifi Access Point per AP </t>
  </si>
  <si>
    <t>Total no.of Objects for Aruba WLC</t>
  </si>
  <si>
    <t>Approx. no of Wifi Aggregation per AP</t>
  </si>
  <si>
    <t>Total no.of Indicators for Aruba WLC</t>
  </si>
  <si>
    <t>Approx. no of Wifi Wired Interface per AP</t>
  </si>
  <si>
    <t>Approx. no of Wifi AP Radio per AP</t>
  </si>
  <si>
    <t>Aruba Access Point Objects</t>
  </si>
  <si>
    <t xml:space="preserve">Wifi Access Point </t>
  </si>
  <si>
    <t>Wifi Wired Interface</t>
  </si>
  <si>
    <t xml:space="preserve">Wifi AP Radio </t>
  </si>
  <si>
    <t>Total no.of Objects for Aruba Access Point</t>
  </si>
  <si>
    <t>Total no.of Indicators for Aruba Access Point</t>
  </si>
  <si>
    <t>Aruba Station Objects</t>
  </si>
  <si>
    <t>Wifi Station</t>
  </si>
  <si>
    <t>Total no.of Indicators per Station Object</t>
  </si>
  <si>
    <t>Cisco WLC Objects</t>
  </si>
  <si>
    <t xml:space="preserve">Memory(Cisco IOS)   </t>
  </si>
  <si>
    <t xml:space="preserve">Memory (Cisco IOS XE)   </t>
  </si>
  <si>
    <t>CPU Memory</t>
  </si>
  <si>
    <t>CPU (Cisco IOS)</t>
  </si>
  <si>
    <t>CPU (Cisco IOS XE)</t>
  </si>
  <si>
    <t>CPU Core(Cisco IOS XE)</t>
  </si>
  <si>
    <t>Poll Interval(in sec)</t>
  </si>
  <si>
    <t>IP Statistics</t>
  </si>
  <si>
    <t>Memory Buffer Pool</t>
  </si>
  <si>
    <t>QFP Memory Resource</t>
  </si>
  <si>
    <t>Cisco WLC Object Types</t>
  </si>
  <si>
    <t>QFP Utilization</t>
  </si>
  <si>
    <t>Approx. no of Interface per WLC</t>
  </si>
  <si>
    <t xml:space="preserve">Discovery Protocol Interface </t>
  </si>
  <si>
    <t>Approx. no of Memory(Cisco IOS) per WLC</t>
  </si>
  <si>
    <t>Extended Process</t>
  </si>
  <si>
    <t xml:space="preserve">Approx. no of Memory (Cisco IOS XE) per WLC   </t>
  </si>
  <si>
    <t xml:space="preserve">Flash </t>
  </si>
  <si>
    <t>Approx. no of CPU Memory per WLC</t>
  </si>
  <si>
    <t>Queue</t>
  </si>
  <si>
    <t>Approx. no of CPU (Cisco IOS) per WLC</t>
  </si>
  <si>
    <t>Interface Extension</t>
  </si>
  <si>
    <t>Approx. no of CPU (Cisco IOS XE) per WLC</t>
  </si>
  <si>
    <t>Media Volume</t>
  </si>
  <si>
    <t>Approx. no of CPU Core(Cisco IOS XE) per WLC</t>
  </si>
  <si>
    <t>MCS 802.11n</t>
  </si>
  <si>
    <t>NAT Protocol</t>
  </si>
  <si>
    <t>Approx. no of IP Statistics per WLC</t>
  </si>
  <si>
    <t xml:space="preserve">Process </t>
  </si>
  <si>
    <t>Approx. no of Memory Buffer Pool per WLC</t>
  </si>
  <si>
    <t xml:space="preserve">VTP VLAN </t>
  </si>
  <si>
    <t>Approx. no of QFP Memory Resource per WLC</t>
  </si>
  <si>
    <t>Ping Data</t>
  </si>
  <si>
    <t>Approx. no of QFP Utilization per WLC</t>
  </si>
  <si>
    <t>Approx. no of Discovery Protocol Interface per WLC</t>
  </si>
  <si>
    <t xml:space="preserve">SNMP Availability  </t>
  </si>
  <si>
    <t>Approx. no of Extended Process per WLC</t>
  </si>
  <si>
    <t>ICMP</t>
  </si>
  <si>
    <t>Approx. no of Flash per WLC</t>
  </si>
  <si>
    <t>IP Group</t>
  </si>
  <si>
    <t>Approx. no of Queue per WLC</t>
  </si>
  <si>
    <t>TCP Group</t>
  </si>
  <si>
    <t>Approx. no of Interface Extension per WLC</t>
  </si>
  <si>
    <t>UDP Group</t>
  </si>
  <si>
    <t>Approx. no of Media Volume per WLC</t>
  </si>
  <si>
    <t xml:space="preserve">Wifi Controller </t>
  </si>
  <si>
    <t>Approx. no of MCS 802.11n per WLC</t>
  </si>
  <si>
    <t>DSP Global Transcode Sessions</t>
  </si>
  <si>
    <t>Approx. no of NAT Protocol per WLC</t>
  </si>
  <si>
    <t>DSP Total Sessions</t>
  </si>
  <si>
    <t>Approx. no of Process per WLC</t>
  </si>
  <si>
    <t>Gateway Call</t>
  </si>
  <si>
    <t xml:space="preserve">Approx. no of VTP VLAN per WLC </t>
  </si>
  <si>
    <t xml:space="preserve">Global CDP </t>
  </si>
  <si>
    <t>Global Smart License</t>
  </si>
  <si>
    <t>Device Buffers</t>
  </si>
  <si>
    <t>Cisco AP Object Types</t>
  </si>
  <si>
    <t>Multicast Routing</t>
  </si>
  <si>
    <t xml:space="preserve">Approx. Wifi Access Point per AP </t>
  </si>
  <si>
    <t xml:space="preserve">Voice Active Calls </t>
  </si>
  <si>
    <t>Approx. Wifi Aggregation per AP</t>
  </si>
  <si>
    <t>Call Rate Monitor</t>
  </si>
  <si>
    <t>Approx. Wifi Wired Interface per AP</t>
  </si>
  <si>
    <t xml:space="preserve">Call Volume </t>
  </si>
  <si>
    <t>Approx. Wifi AP Radio per AP</t>
  </si>
  <si>
    <t xml:space="preserve">Global VLANs </t>
  </si>
  <si>
    <t>IPSEC</t>
  </si>
  <si>
    <t>MPLS Traffic Engineering</t>
  </si>
  <si>
    <t>NAT BIND Sessions</t>
  </si>
  <si>
    <t>Processor Modules</t>
  </si>
  <si>
    <t>Redundancy Framework</t>
  </si>
  <si>
    <t xml:space="preserve">Subscriber Aggregations </t>
  </si>
  <si>
    <t>Trunk Ports</t>
  </si>
  <si>
    <t>Virtual Machine</t>
  </si>
  <si>
    <t>VRF Notifications</t>
  </si>
  <si>
    <t xml:space="preserve">VTP Per Management Domain </t>
  </si>
  <si>
    <t>Total  no.of objects per WLC</t>
  </si>
  <si>
    <t>Total  no.of indicators per WLC</t>
  </si>
  <si>
    <t>Cisco Access Point Objects</t>
  </si>
  <si>
    <t>Total no.of objects per Cisco Access Point</t>
  </si>
  <si>
    <t>Total no of Indicators per Cisco Access Point</t>
  </si>
  <si>
    <t>Cisco Station Objects</t>
  </si>
  <si>
    <t>Wifi Station Object</t>
  </si>
  <si>
    <t>Total no.of indicators per Station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</si>
</sst>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Arial"/>
      <family val="2"/>
      <charset val="1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E9ECF1"/>
        <bgColor rgb="FFFFFFFF"/>
      </patternFill>
    </fill>
    <fill>
      <patternFill patternType="solid">
        <fgColor rgb="FFCFD6E1"/>
        <bgColor rgb="FFE9ECF1"/>
      </patternFill>
    </fill>
    <fill>
      <patternFill patternType="solid">
        <fgColor rgb="FF4375A7"/>
        <bgColor rgb="FF3366FF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7" fillId="0" borderId="0" xfId="0" applyFont="1" applyAlignment="1">
      <alignment horizontal="left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1" fillId="5" borderId="0" xfId="0" applyFont="1" applyFill="1"/>
    <xf numFmtId="3" fontId="11" fillId="5" borderId="0" xfId="0" applyNumberFormat="1" applyFont="1" applyFill="1"/>
    <xf numFmtId="4" fontId="11" fillId="5" borderId="0" xfId="0" applyNumberFormat="1" applyFont="1" applyFill="1"/>
    <xf numFmtId="0" fontId="11" fillId="3" borderId="0" xfId="0" applyFont="1" applyFill="1"/>
    <xf numFmtId="0" fontId="11" fillId="3" borderId="0" xfId="0" applyFont="1" applyFill="1" applyAlignment="1">
      <alignment horizontal="left"/>
    </xf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10" fillId="0" borderId="0" xfId="0" applyFont="1" applyAlignment="1">
      <alignment wrapText="1"/>
    </xf>
    <xf numFmtId="0" fontId="13" fillId="3" borderId="0" xfId="0" applyFont="1" applyFill="1"/>
    <xf numFmtId="0" fontId="3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020-872C-BC4C-A71E-9B10FD452675}">
  <dimension ref="C1:E15"/>
  <sheetViews>
    <sheetView zoomScale="80" zoomScaleNormal="80" workbookViewId="0">
      <selection activeCell="C12" sqref="C12"/>
    </sheetView>
  </sheetViews>
  <sheetFormatPr baseColWidth="10" defaultColWidth="8.7109375" defaultRowHeight="16" x14ac:dyDescent="0.2"/>
  <cols>
    <col min="3" max="3" width="23.140625" bestFit="1" customWidth="1"/>
    <col min="4" max="4" width="19" bestFit="1" customWidth="1"/>
    <col min="5" max="5" width="17.140625" bestFit="1" customWidth="1"/>
  </cols>
  <sheetData>
    <row r="1" spans="3:5" ht="15.75" customHeight="1" x14ac:dyDescent="0.2"/>
    <row r="2" spans="3:5" ht="15.75" customHeight="1" thickBot="1" x14ac:dyDescent="0.25"/>
    <row r="3" spans="3:5" ht="37.5" customHeight="1" thickBot="1" x14ac:dyDescent="0.25">
      <c r="C3" s="32" t="s">
        <v>0</v>
      </c>
      <c r="D3" s="10" t="s">
        <v>1</v>
      </c>
      <c r="E3" s="10" t="s">
        <v>1</v>
      </c>
    </row>
    <row r="4" spans="3:5" ht="30" customHeight="1" thickTop="1" thickBot="1" x14ac:dyDescent="0.25">
      <c r="C4" s="32"/>
      <c r="D4" s="9" t="s">
        <v>2</v>
      </c>
      <c r="E4" s="9" t="s">
        <v>3</v>
      </c>
    </row>
    <row r="5" spans="3:5" ht="39.75" customHeight="1" thickTop="1" thickBot="1" x14ac:dyDescent="0.25">
      <c r="C5" s="8" t="s">
        <v>4</v>
      </c>
      <c r="D5" s="7">
        <v>333</v>
      </c>
      <c r="E5" s="7" t="s">
        <v>5</v>
      </c>
    </row>
    <row r="6" spans="3:5" ht="36.75" customHeight="1" thickBot="1" x14ac:dyDescent="0.25">
      <c r="C6" s="3" t="s">
        <v>6</v>
      </c>
      <c r="D6" s="6">
        <v>667</v>
      </c>
      <c r="E6" s="6" t="s">
        <v>7</v>
      </c>
    </row>
    <row r="7" spans="3:5" ht="45" customHeight="1" thickBot="1" x14ac:dyDescent="0.25">
      <c r="C7" s="5" t="s">
        <v>8</v>
      </c>
      <c r="D7" s="4">
        <v>1333</v>
      </c>
      <c r="E7" s="4" t="s">
        <v>9</v>
      </c>
    </row>
    <row r="8" spans="3:5" ht="44" customHeight="1" thickBot="1" x14ac:dyDescent="0.25">
      <c r="C8" s="3" t="s">
        <v>10</v>
      </c>
      <c r="D8" s="2">
        <v>2666</v>
      </c>
      <c r="E8" s="2" t="s">
        <v>11</v>
      </c>
    </row>
    <row r="9" spans="3:5" ht="44" customHeight="1" thickBot="1" x14ac:dyDescent="0.25">
      <c r="C9" s="5" t="s">
        <v>12</v>
      </c>
      <c r="D9" s="4">
        <v>4000</v>
      </c>
      <c r="E9" s="4" t="s">
        <v>13</v>
      </c>
    </row>
    <row r="10" spans="3:5" ht="44" customHeight="1" thickBot="1" x14ac:dyDescent="0.25">
      <c r="C10" s="3" t="s">
        <v>14</v>
      </c>
      <c r="D10" s="2">
        <v>6667</v>
      </c>
      <c r="E10" s="2" t="s">
        <v>15</v>
      </c>
    </row>
    <row r="11" spans="3:5" ht="50" customHeight="1" thickBot="1" x14ac:dyDescent="0.25">
      <c r="C11" s="5" t="s">
        <v>16</v>
      </c>
      <c r="D11" s="4">
        <v>13333</v>
      </c>
      <c r="E11" s="4" t="s">
        <v>17</v>
      </c>
    </row>
    <row r="12" spans="3:5" ht="36" customHeight="1" thickBot="1" x14ac:dyDescent="0.25">
      <c r="C12" s="3" t="s">
        <v>18</v>
      </c>
      <c r="D12" s="2">
        <v>20000</v>
      </c>
      <c r="E12" s="2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B65-E6C4-9B45-9CA4-0DA105673271}">
  <sheetPr>
    <tabColor theme="0"/>
  </sheetPr>
  <dimension ref="A1:K55"/>
  <sheetViews>
    <sheetView tabSelected="1" zoomScaleNormal="100" workbookViewId="0">
      <selection activeCell="A27" sqref="A27"/>
    </sheetView>
  </sheetViews>
  <sheetFormatPr baseColWidth="10" defaultColWidth="10.7109375" defaultRowHeight="16" x14ac:dyDescent="0.2"/>
  <cols>
    <col min="1" max="1" width="22.42578125" style="14" customWidth="1"/>
    <col min="2" max="2" width="36.42578125" style="14" bestFit="1" customWidth="1"/>
    <col min="3" max="3" width="13.28515625" style="14" customWidth="1"/>
    <col min="4" max="4" width="22.140625" style="14" bestFit="1" customWidth="1"/>
    <col min="5" max="5" width="36.28515625" style="14" customWidth="1"/>
    <col min="6" max="6" width="17.140625" style="14" bestFit="1" customWidth="1"/>
    <col min="7" max="7" width="30.85546875" style="14" bestFit="1" customWidth="1"/>
    <col min="8" max="8" width="16.28515625" style="14" bestFit="1" customWidth="1"/>
    <col min="9" max="9" width="10.7109375" style="14" customWidth="1"/>
    <col min="10" max="10" width="35.7109375" style="14" customWidth="1"/>
    <col min="11" max="11" width="13.28515625" style="14" customWidth="1"/>
    <col min="12" max="16384" width="10.7109375" style="14"/>
  </cols>
  <sheetData>
    <row r="1" spans="1:11" x14ac:dyDescent="0.2">
      <c r="A1" s="20"/>
      <c r="B1" s="21" t="s">
        <v>20</v>
      </c>
      <c r="C1" s="21"/>
      <c r="D1" s="20"/>
      <c r="E1" s="20"/>
      <c r="F1" s="20"/>
      <c r="J1" s="13"/>
      <c r="K1" s="13"/>
    </row>
    <row r="2" spans="1:11" x14ac:dyDescent="0.2">
      <c r="A2" s="20"/>
      <c r="B2" s="21" t="s">
        <v>21</v>
      </c>
      <c r="C2" s="21"/>
      <c r="D2" s="20"/>
      <c r="E2" s="20"/>
      <c r="F2" s="20"/>
      <c r="J2" s="13"/>
      <c r="K2" s="13"/>
    </row>
    <row r="3" spans="1:11" x14ac:dyDescent="0.2">
      <c r="A3" s="20"/>
      <c r="B3" s="21"/>
      <c r="C3" s="21"/>
      <c r="D3" s="20"/>
      <c r="E3" s="20"/>
      <c r="F3" s="20"/>
      <c r="J3" s="13"/>
      <c r="K3" s="13"/>
    </row>
    <row r="4" spans="1:11" x14ac:dyDescent="0.2">
      <c r="A4" s="20"/>
      <c r="B4" s="22" t="s">
        <v>22</v>
      </c>
      <c r="C4" s="23">
        <f>SUM(F10:F11)</f>
        <v>4</v>
      </c>
      <c r="D4" s="20"/>
      <c r="E4" s="20"/>
      <c r="F4" s="20"/>
      <c r="J4" s="13"/>
      <c r="K4" s="15"/>
    </row>
    <row r="5" spans="1:11" x14ac:dyDescent="0.2">
      <c r="A5" s="20"/>
      <c r="B5" s="22" t="s">
        <v>23</v>
      </c>
      <c r="C5" s="23">
        <f>(C30*F10)+(C39*F11)+(F14)</f>
        <v>65</v>
      </c>
      <c r="D5" s="20"/>
      <c r="E5" s="20"/>
      <c r="F5" s="20"/>
      <c r="J5" s="13"/>
      <c r="K5" s="15"/>
    </row>
    <row r="6" spans="1:11" x14ac:dyDescent="0.2">
      <c r="A6" s="20"/>
      <c r="B6" s="22" t="s">
        <v>24</v>
      </c>
      <c r="C6" s="23">
        <f>(C31 * F10) + (C40 * F11) + (C44 * F14)</f>
        <v>684</v>
      </c>
      <c r="D6" s="20"/>
      <c r="E6" s="20"/>
      <c r="F6" s="20"/>
      <c r="J6" s="13"/>
      <c r="K6" s="15"/>
    </row>
    <row r="7" spans="1:11" x14ac:dyDescent="0.2">
      <c r="A7" s="20"/>
      <c r="B7" s="22" t="s">
        <v>25</v>
      </c>
      <c r="C7" s="24">
        <f>(C31 * F10)/F17 + (C40 * F11)/F17 + (C44 * F14)/F17</f>
        <v>2.2800000000000002</v>
      </c>
      <c r="D7" s="20"/>
      <c r="E7" s="20"/>
      <c r="F7" s="20"/>
      <c r="J7" s="13"/>
      <c r="K7" s="16"/>
    </row>
    <row r="8" spans="1:11" x14ac:dyDescent="0.2">
      <c r="A8" s="20"/>
      <c r="B8" s="20"/>
      <c r="C8" s="20"/>
      <c r="D8" s="20"/>
      <c r="E8" s="20"/>
      <c r="F8" s="20"/>
    </row>
    <row r="9" spans="1:11" x14ac:dyDescent="0.2">
      <c r="A9" s="20"/>
      <c r="B9" s="31" t="s">
        <v>26</v>
      </c>
      <c r="C9" s="26" t="s">
        <v>27</v>
      </c>
      <c r="D9" s="20"/>
      <c r="E9" s="25" t="s">
        <v>28</v>
      </c>
      <c r="F9" s="25" t="s">
        <v>29</v>
      </c>
      <c r="J9" s="13"/>
      <c r="K9" s="17"/>
    </row>
    <row r="10" spans="1:11" x14ac:dyDescent="0.2">
      <c r="A10" s="20"/>
      <c r="B10" s="29" t="s">
        <v>30</v>
      </c>
      <c r="C10" s="20">
        <v>24</v>
      </c>
      <c r="D10" s="20"/>
      <c r="E10" s="20" t="s">
        <v>31</v>
      </c>
      <c r="F10" s="27">
        <v>1</v>
      </c>
      <c r="J10" s="18"/>
      <c r="K10" s="18"/>
    </row>
    <row r="11" spans="1:11" x14ac:dyDescent="0.2">
      <c r="A11" s="20"/>
      <c r="B11" s="20" t="s">
        <v>32</v>
      </c>
      <c r="C11" s="20">
        <v>1</v>
      </c>
      <c r="D11" s="20"/>
      <c r="E11" s="20" t="s">
        <v>33</v>
      </c>
      <c r="F11" s="27">
        <v>3</v>
      </c>
      <c r="J11" s="18"/>
      <c r="K11" s="18"/>
    </row>
    <row r="12" spans="1:11" x14ac:dyDescent="0.2">
      <c r="A12" s="20"/>
      <c r="B12" s="20" t="s">
        <v>34</v>
      </c>
      <c r="C12" s="20">
        <v>1</v>
      </c>
      <c r="D12" s="20"/>
      <c r="E12" s="20"/>
      <c r="F12" s="20"/>
      <c r="J12" s="18"/>
      <c r="K12" s="18"/>
    </row>
    <row r="13" spans="1:11" x14ac:dyDescent="0.2">
      <c r="A13" s="20"/>
      <c r="B13" s="20" t="s">
        <v>35</v>
      </c>
      <c r="C13" s="20">
        <v>9</v>
      </c>
      <c r="D13" s="20"/>
      <c r="E13" s="25" t="s">
        <v>36</v>
      </c>
      <c r="F13" s="25" t="s">
        <v>37</v>
      </c>
      <c r="J13" s="18"/>
      <c r="K13" s="18"/>
    </row>
    <row r="14" spans="1:11" x14ac:dyDescent="0.2">
      <c r="A14" s="20"/>
      <c r="B14" s="20" t="s">
        <v>38</v>
      </c>
      <c r="C14" s="20">
        <v>9</v>
      </c>
      <c r="D14" s="20"/>
      <c r="E14" s="20" t="s">
        <v>39</v>
      </c>
      <c r="F14" s="27">
        <v>2</v>
      </c>
      <c r="J14" s="18"/>
      <c r="K14" s="18"/>
    </row>
    <row r="15" spans="1:11" x14ac:dyDescent="0.2">
      <c r="A15" s="20"/>
      <c r="B15" s="20" t="s">
        <v>40</v>
      </c>
      <c r="C15" s="20">
        <v>10</v>
      </c>
      <c r="D15" s="20"/>
      <c r="E15" s="20"/>
      <c r="F15" s="20"/>
      <c r="J15" s="18"/>
      <c r="K15" s="18"/>
    </row>
    <row r="16" spans="1:11" x14ac:dyDescent="0.2">
      <c r="A16" s="20"/>
      <c r="B16" s="20" t="s">
        <v>41</v>
      </c>
      <c r="C16" s="20">
        <v>5</v>
      </c>
      <c r="D16" s="20"/>
      <c r="E16" s="28" t="s">
        <v>28</v>
      </c>
      <c r="F16" s="28" t="s">
        <v>42</v>
      </c>
      <c r="J16" s="18"/>
      <c r="K16" s="18"/>
    </row>
    <row r="17" spans="1:11" x14ac:dyDescent="0.2">
      <c r="A17" s="20"/>
      <c r="B17" s="20" t="s">
        <v>43</v>
      </c>
      <c r="C17" s="20">
        <v>2</v>
      </c>
      <c r="D17" s="20"/>
      <c r="E17" s="20" t="s">
        <v>31</v>
      </c>
      <c r="F17" s="27">
        <v>300</v>
      </c>
      <c r="J17" s="18"/>
      <c r="K17" s="18"/>
    </row>
    <row r="18" spans="1:11" x14ac:dyDescent="0.2">
      <c r="A18" s="20"/>
      <c r="B18" s="20" t="s">
        <v>44</v>
      </c>
      <c r="C18" s="20">
        <v>1</v>
      </c>
      <c r="D18" s="20"/>
      <c r="E18" s="21"/>
      <c r="F18" s="21"/>
      <c r="J18" s="18"/>
      <c r="K18" s="18"/>
    </row>
    <row r="19" spans="1:11" x14ac:dyDescent="0.2">
      <c r="A19" s="20"/>
      <c r="B19" s="20" t="s">
        <v>45</v>
      </c>
      <c r="C19" s="20">
        <v>1</v>
      </c>
      <c r="D19" s="20"/>
      <c r="E19" s="28" t="s">
        <v>46</v>
      </c>
      <c r="F19" s="28" t="s">
        <v>47</v>
      </c>
      <c r="J19" s="18"/>
      <c r="K19" s="18"/>
    </row>
    <row r="20" spans="1:11" x14ac:dyDescent="0.2">
      <c r="A20" s="20"/>
      <c r="B20" s="20" t="s">
        <v>48</v>
      </c>
      <c r="C20" s="20">
        <v>1</v>
      </c>
      <c r="D20" s="20"/>
      <c r="E20" s="20" t="s">
        <v>49</v>
      </c>
      <c r="F20" s="27">
        <v>12</v>
      </c>
      <c r="J20" s="18"/>
      <c r="K20" s="18"/>
    </row>
    <row r="21" spans="1:11" x14ac:dyDescent="0.2">
      <c r="A21" s="20"/>
      <c r="B21" s="20" t="s">
        <v>50</v>
      </c>
      <c r="C21" s="20">
        <v>3</v>
      </c>
      <c r="D21" s="20"/>
      <c r="E21" s="20" t="s">
        <v>51</v>
      </c>
      <c r="F21" s="27">
        <v>5</v>
      </c>
      <c r="J21" s="18"/>
      <c r="K21" s="18"/>
    </row>
    <row r="22" spans="1:11" x14ac:dyDescent="0.2">
      <c r="A22" s="20"/>
      <c r="B22" s="20" t="s">
        <v>52</v>
      </c>
      <c r="C22" s="20">
        <v>2</v>
      </c>
      <c r="D22" s="20"/>
      <c r="E22" s="20" t="s">
        <v>53</v>
      </c>
      <c r="F22" s="27">
        <v>6</v>
      </c>
      <c r="J22" s="18"/>
      <c r="K22" s="18"/>
    </row>
    <row r="23" spans="1:11" x14ac:dyDescent="0.2">
      <c r="A23" s="20"/>
      <c r="B23" s="20" t="s">
        <v>54</v>
      </c>
      <c r="C23" s="20">
        <v>1</v>
      </c>
      <c r="D23" s="20"/>
      <c r="E23" s="20" t="s">
        <v>55</v>
      </c>
      <c r="F23" s="27">
        <v>2</v>
      </c>
      <c r="J23" s="18"/>
      <c r="K23" s="18"/>
    </row>
    <row r="24" spans="1:11" x14ac:dyDescent="0.2">
      <c r="A24" s="20"/>
      <c r="B24" s="20" t="s">
        <v>56</v>
      </c>
      <c r="C24" s="20">
        <v>7</v>
      </c>
      <c r="D24" s="20"/>
      <c r="E24" s="20" t="s">
        <v>57</v>
      </c>
      <c r="F24" s="27">
        <v>4</v>
      </c>
      <c r="K24" s="18"/>
    </row>
    <row r="25" spans="1:11" x14ac:dyDescent="0.2">
      <c r="A25" s="20"/>
      <c r="B25" s="20" t="s">
        <v>58</v>
      </c>
      <c r="C25" s="20">
        <v>1</v>
      </c>
      <c r="D25" s="20"/>
      <c r="E25" s="20" t="s">
        <v>59</v>
      </c>
      <c r="F25" s="27">
        <v>3</v>
      </c>
      <c r="J25" s="18"/>
      <c r="K25" s="18"/>
    </row>
    <row r="26" spans="1:11" x14ac:dyDescent="0.2">
      <c r="A26" s="20"/>
      <c r="B26" s="20" t="s">
        <v>60</v>
      </c>
      <c r="C26" s="20">
        <v>30</v>
      </c>
      <c r="D26" s="20"/>
      <c r="E26" s="20" t="s">
        <v>61</v>
      </c>
      <c r="F26" s="27">
        <v>3</v>
      </c>
      <c r="J26" s="18"/>
      <c r="K26" s="18"/>
    </row>
    <row r="27" spans="1:11" x14ac:dyDescent="0.2">
      <c r="A27" s="20"/>
      <c r="B27" s="20" t="s">
        <v>62</v>
      </c>
      <c r="C27" s="20">
        <v>2</v>
      </c>
      <c r="D27" s="20"/>
      <c r="E27" s="20"/>
      <c r="F27" s="20"/>
      <c r="J27" s="18"/>
      <c r="K27" s="18"/>
    </row>
    <row r="28" spans="1:11" x14ac:dyDescent="0.2">
      <c r="A28" s="20"/>
      <c r="B28" s="20" t="s">
        <v>63</v>
      </c>
      <c r="C28" s="20">
        <v>12</v>
      </c>
      <c r="D28" s="20"/>
      <c r="E28" s="28" t="s">
        <v>64</v>
      </c>
      <c r="F28" s="28" t="s">
        <v>47</v>
      </c>
      <c r="G28" s="11"/>
      <c r="H28" s="11"/>
      <c r="J28" s="18"/>
      <c r="K28" s="18"/>
    </row>
    <row r="29" spans="1:11" x14ac:dyDescent="0.2">
      <c r="A29" s="20"/>
      <c r="B29" s="20" t="s">
        <v>65</v>
      </c>
      <c r="C29" s="20">
        <v>1</v>
      </c>
      <c r="D29" s="20"/>
      <c r="E29" s="20" t="s">
        <v>66</v>
      </c>
      <c r="F29" s="27">
        <v>1</v>
      </c>
      <c r="J29" s="18"/>
      <c r="K29" s="18"/>
    </row>
    <row r="30" spans="1:11" x14ac:dyDescent="0.2">
      <c r="A30" s="20"/>
      <c r="B30" s="21" t="s">
        <v>67</v>
      </c>
      <c r="C30" s="21">
        <f xml:space="preserve"> SUM(F20:F26) + ROWS(B10:B29) - ROWS(F20:F26)</f>
        <v>48</v>
      </c>
      <c r="D30" s="20"/>
      <c r="E30" s="20" t="s">
        <v>68</v>
      </c>
      <c r="F30" s="27">
        <v>1</v>
      </c>
      <c r="J30" s="18"/>
      <c r="K30" s="18"/>
    </row>
    <row r="31" spans="1:11" x14ac:dyDescent="0.2">
      <c r="A31" s="20"/>
      <c r="B31" s="21" t="s">
        <v>69</v>
      </c>
      <c r="C31" s="21">
        <f>SUMPRODUCT(C10:C16, F20:F26)+SUM(C17:C29)</f>
        <v>462</v>
      </c>
      <c r="D31" s="20"/>
      <c r="E31" s="20" t="s">
        <v>70</v>
      </c>
      <c r="F31" s="27">
        <v>1</v>
      </c>
      <c r="J31" s="18"/>
      <c r="K31" s="18"/>
    </row>
    <row r="32" spans="1:11" x14ac:dyDescent="0.2">
      <c r="A32" s="20"/>
      <c r="B32" s="21"/>
      <c r="C32" s="21"/>
      <c r="D32" s="20"/>
      <c r="E32" s="20" t="s">
        <v>71</v>
      </c>
      <c r="F32" s="27">
        <v>2</v>
      </c>
      <c r="J32" s="1"/>
      <c r="K32" s="1"/>
    </row>
    <row r="33" spans="1:11" x14ac:dyDescent="0.2">
      <c r="A33" s="20"/>
      <c r="B33" s="20"/>
      <c r="C33" s="20"/>
      <c r="D33" s="20"/>
      <c r="E33" s="20"/>
      <c r="F33" s="20"/>
    </row>
    <row r="34" spans="1:11" x14ac:dyDescent="0.2">
      <c r="A34" s="20"/>
      <c r="B34" s="25" t="s">
        <v>72</v>
      </c>
      <c r="C34" s="25" t="s">
        <v>27</v>
      </c>
      <c r="D34" s="20"/>
      <c r="E34" s="20"/>
      <c r="F34" s="20"/>
      <c r="J34" s="19"/>
      <c r="K34" s="19"/>
    </row>
    <row r="35" spans="1:11" x14ac:dyDescent="0.2">
      <c r="A35" s="20"/>
      <c r="B35" s="20" t="s">
        <v>73</v>
      </c>
      <c r="C35" s="20">
        <v>12</v>
      </c>
      <c r="D35" s="20"/>
      <c r="E35" s="20"/>
      <c r="F35" s="20"/>
    </row>
    <row r="36" spans="1:11" x14ac:dyDescent="0.2">
      <c r="A36" s="20"/>
      <c r="B36" s="20" t="s">
        <v>38</v>
      </c>
      <c r="C36" s="20">
        <v>27</v>
      </c>
      <c r="D36" s="20"/>
      <c r="E36" s="20"/>
      <c r="F36" s="20"/>
    </row>
    <row r="37" spans="1:11" x14ac:dyDescent="0.2">
      <c r="A37" s="20"/>
      <c r="B37" s="20" t="s">
        <v>74</v>
      </c>
      <c r="C37" s="20">
        <v>11</v>
      </c>
      <c r="D37" s="20"/>
      <c r="E37" s="20"/>
      <c r="F37" s="20"/>
    </row>
    <row r="38" spans="1:11" x14ac:dyDescent="0.2">
      <c r="A38" s="20"/>
      <c r="B38" s="20" t="s">
        <v>75</v>
      </c>
      <c r="C38" s="20">
        <v>6</v>
      </c>
      <c r="D38" s="20"/>
      <c r="E38" s="20"/>
      <c r="F38" s="20"/>
    </row>
    <row r="39" spans="1:11" x14ac:dyDescent="0.2">
      <c r="A39" s="20"/>
      <c r="B39" s="21" t="s">
        <v>76</v>
      </c>
      <c r="C39" s="21">
        <f xml:space="preserve"> SUM(F29:F32)</f>
        <v>5</v>
      </c>
      <c r="D39" s="20"/>
      <c r="E39" s="21"/>
      <c r="F39" s="20"/>
      <c r="J39" s="1"/>
      <c r="K39" s="11"/>
    </row>
    <row r="40" spans="1:11" x14ac:dyDescent="0.2">
      <c r="A40" s="20"/>
      <c r="B40" s="21" t="s">
        <v>77</v>
      </c>
      <c r="C40" s="21">
        <f>SUMPRODUCT(C35:C38, F29:F32)</f>
        <v>62</v>
      </c>
      <c r="D40" s="20"/>
      <c r="E40" s="21"/>
      <c r="F40" s="20"/>
      <c r="J40" s="1"/>
      <c r="K40" s="11"/>
    </row>
    <row r="41" spans="1:11" x14ac:dyDescent="0.2">
      <c r="A41" s="20"/>
      <c r="B41" s="20"/>
      <c r="C41" s="20"/>
      <c r="D41" s="20"/>
      <c r="E41" s="20"/>
      <c r="F41" s="20"/>
    </row>
    <row r="42" spans="1:11" x14ac:dyDescent="0.2">
      <c r="A42" s="20"/>
      <c r="B42" s="28" t="s">
        <v>78</v>
      </c>
      <c r="C42" s="28" t="s">
        <v>27</v>
      </c>
      <c r="D42" s="20"/>
      <c r="E42" s="20"/>
      <c r="F42" s="20"/>
      <c r="J42" s="11"/>
      <c r="K42" s="11"/>
    </row>
    <row r="43" spans="1:11" x14ac:dyDescent="0.2">
      <c r="A43" s="20"/>
      <c r="B43" s="20" t="s">
        <v>79</v>
      </c>
      <c r="C43" s="20">
        <v>18</v>
      </c>
      <c r="D43" s="20"/>
      <c r="E43" s="20"/>
      <c r="F43" s="20"/>
    </row>
    <row r="44" spans="1:11" x14ac:dyDescent="0.2">
      <c r="A44" s="20"/>
      <c r="B44" s="21" t="s">
        <v>80</v>
      </c>
      <c r="C44" s="21">
        <f xml:space="preserve"> SUM(C43:C43)</f>
        <v>18</v>
      </c>
      <c r="D44" s="20"/>
      <c r="E44" s="20"/>
      <c r="F44" s="20"/>
      <c r="J44" s="11"/>
    </row>
    <row r="45" spans="1:11" x14ac:dyDescent="0.2">
      <c r="A45" s="20"/>
      <c r="B45" s="20"/>
      <c r="C45" s="20"/>
      <c r="D45" s="20"/>
      <c r="E45" s="20"/>
      <c r="F45" s="20"/>
    </row>
    <row r="46" spans="1:11" x14ac:dyDescent="0.2">
      <c r="A46" s="20"/>
      <c r="B46" s="20"/>
      <c r="C46" s="20"/>
      <c r="D46" s="20"/>
      <c r="E46" s="20"/>
      <c r="F46" s="20"/>
    </row>
    <row r="47" spans="1:11" x14ac:dyDescent="0.2">
      <c r="A47" s="20"/>
      <c r="B47" s="20"/>
      <c r="C47" s="20"/>
      <c r="D47" s="20"/>
      <c r="E47" s="20"/>
      <c r="F47" s="20"/>
    </row>
    <row r="48" spans="1:11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1" spans="1:6" x14ac:dyDescent="0.2">
      <c r="A51" s="20"/>
      <c r="B51" s="20"/>
      <c r="C51" s="20"/>
      <c r="D51" s="20"/>
      <c r="E51" s="20"/>
      <c r="F51" s="20"/>
    </row>
    <row r="52" spans="1:6" x14ac:dyDescent="0.2">
      <c r="A52" s="20"/>
      <c r="B52" s="20"/>
      <c r="C52" s="20"/>
      <c r="D52" s="20"/>
      <c r="E52" s="20"/>
      <c r="F52" s="20"/>
    </row>
    <row r="53" spans="1:6" x14ac:dyDescent="0.2">
      <c r="A53" s="20"/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BA9C-0F4B-F340-8D46-F29C3FB7DBF4}">
  <dimension ref="A1:G85"/>
  <sheetViews>
    <sheetView zoomScaleNormal="100" workbookViewId="0">
      <selection activeCell="C6" sqref="C6"/>
    </sheetView>
  </sheetViews>
  <sheetFormatPr baseColWidth="10" defaultColWidth="10.7109375" defaultRowHeight="16" x14ac:dyDescent="0.2"/>
  <cols>
    <col min="1" max="1" width="22" style="12" customWidth="1"/>
    <col min="2" max="2" width="36.42578125" style="12" bestFit="1" customWidth="1"/>
    <col min="3" max="3" width="13.28515625" style="12" customWidth="1"/>
    <col min="4" max="4" width="27.140625" style="12" bestFit="1" customWidth="1"/>
    <col min="5" max="5" width="38.5703125" style="12" customWidth="1"/>
    <col min="6" max="6" width="24" style="12" bestFit="1" customWidth="1"/>
    <col min="7" max="7" width="20.7109375" style="12" bestFit="1" customWidth="1"/>
    <col min="8" max="16384" width="10.7109375" style="12"/>
  </cols>
  <sheetData>
    <row r="1" spans="1:6" x14ac:dyDescent="0.2">
      <c r="A1" s="20"/>
      <c r="B1" s="21" t="s">
        <v>20</v>
      </c>
      <c r="C1" s="21"/>
      <c r="D1" s="20"/>
      <c r="E1" s="20"/>
      <c r="F1" s="20"/>
    </row>
    <row r="2" spans="1:6" x14ac:dyDescent="0.2">
      <c r="A2" s="20"/>
      <c r="B2" s="21" t="s">
        <v>21</v>
      </c>
      <c r="C2" s="21"/>
      <c r="D2" s="20"/>
      <c r="E2" s="20"/>
      <c r="F2" s="20"/>
    </row>
    <row r="3" spans="1:6" x14ac:dyDescent="0.2">
      <c r="A3" s="20"/>
      <c r="B3" s="21"/>
      <c r="C3" s="21"/>
      <c r="D3" s="20"/>
      <c r="E3" s="20"/>
      <c r="F3" s="20"/>
    </row>
    <row r="4" spans="1:6" x14ac:dyDescent="0.2">
      <c r="A4" s="20"/>
      <c r="B4" s="22" t="s">
        <v>22</v>
      </c>
      <c r="C4" s="23">
        <f>SUM(F10:F11)</f>
        <v>3</v>
      </c>
      <c r="D4" s="20"/>
      <c r="E4" s="20"/>
      <c r="F4" s="20"/>
    </row>
    <row r="5" spans="1:6" x14ac:dyDescent="0.2">
      <c r="A5" s="20"/>
      <c r="B5" s="22" t="s">
        <v>23</v>
      </c>
      <c r="C5" s="23">
        <f xml:space="preserve"> (C61 * F10) + (C69 * F11) + ( F14 )</f>
        <v>529</v>
      </c>
      <c r="D5" s="20"/>
      <c r="E5" s="20"/>
      <c r="F5" s="20"/>
    </row>
    <row r="6" spans="1:6" x14ac:dyDescent="0.2">
      <c r="A6" s="20"/>
      <c r="B6" s="22" t="s">
        <v>24</v>
      </c>
      <c r="C6" s="23">
        <f xml:space="preserve"> (C62 * F10) + (C70 * F11) + (C74 * F14)</f>
        <v>10673</v>
      </c>
      <c r="D6" s="20"/>
      <c r="E6" s="20"/>
      <c r="F6" s="20"/>
    </row>
    <row r="7" spans="1:6" x14ac:dyDescent="0.2">
      <c r="A7" s="20"/>
      <c r="B7" s="22" t="s">
        <v>25</v>
      </c>
      <c r="C7" s="24">
        <f xml:space="preserve"> (C62 * F10)/F18 + (C70 * F11)/F18 + (C74 * F14)/F18</f>
        <v>35.576666666666668</v>
      </c>
      <c r="D7" s="20"/>
      <c r="E7" s="20"/>
      <c r="F7" s="20"/>
    </row>
    <row r="8" spans="1:6" x14ac:dyDescent="0.2">
      <c r="A8" s="20"/>
      <c r="B8" s="20"/>
      <c r="C8" s="20"/>
      <c r="D8" s="20"/>
      <c r="E8" s="20"/>
      <c r="F8" s="20"/>
    </row>
    <row r="9" spans="1:6" x14ac:dyDescent="0.2">
      <c r="A9" s="20"/>
      <c r="B9" s="25" t="s">
        <v>81</v>
      </c>
      <c r="C9" s="26" t="s">
        <v>27</v>
      </c>
      <c r="D9" s="20"/>
      <c r="E9" s="25" t="s">
        <v>28</v>
      </c>
      <c r="F9" s="25" t="s">
        <v>29</v>
      </c>
    </row>
    <row r="10" spans="1:6" x14ac:dyDescent="0.2">
      <c r="A10" s="20"/>
      <c r="B10" s="20" t="s">
        <v>30</v>
      </c>
      <c r="C10" s="20">
        <v>24</v>
      </c>
      <c r="D10" s="20"/>
      <c r="E10" s="20" t="s">
        <v>31</v>
      </c>
      <c r="F10" s="27">
        <v>1</v>
      </c>
    </row>
    <row r="11" spans="1:6" x14ac:dyDescent="0.2">
      <c r="A11" s="20"/>
      <c r="B11" s="20" t="s">
        <v>82</v>
      </c>
      <c r="C11" s="20">
        <v>2</v>
      </c>
      <c r="D11" s="20"/>
      <c r="E11" s="20" t="s">
        <v>41</v>
      </c>
      <c r="F11" s="27">
        <v>2</v>
      </c>
    </row>
    <row r="12" spans="1:6" x14ac:dyDescent="0.2">
      <c r="A12" s="20"/>
      <c r="B12" s="20" t="s">
        <v>83</v>
      </c>
      <c r="C12" s="20">
        <v>2</v>
      </c>
      <c r="D12" s="20"/>
      <c r="E12" s="20"/>
      <c r="F12" s="20"/>
    </row>
    <row r="13" spans="1:6" x14ac:dyDescent="0.2">
      <c r="A13" s="20"/>
      <c r="B13" s="20" t="s">
        <v>84</v>
      </c>
      <c r="C13" s="20">
        <v>12</v>
      </c>
      <c r="D13" s="20"/>
      <c r="E13" s="28" t="s">
        <v>36</v>
      </c>
      <c r="F13" s="28" t="s">
        <v>37</v>
      </c>
    </row>
    <row r="14" spans="1:6" x14ac:dyDescent="0.2">
      <c r="A14" s="20"/>
      <c r="B14" s="20" t="s">
        <v>85</v>
      </c>
      <c r="C14" s="20">
        <v>3</v>
      </c>
      <c r="D14" s="20"/>
      <c r="E14" s="20" t="s">
        <v>39</v>
      </c>
      <c r="F14" s="27">
        <v>3</v>
      </c>
    </row>
    <row r="15" spans="1:6" x14ac:dyDescent="0.2">
      <c r="A15" s="20"/>
      <c r="B15" s="20" t="s">
        <v>86</v>
      </c>
      <c r="C15" s="20">
        <v>3</v>
      </c>
      <c r="D15" s="20"/>
      <c r="E15" s="21"/>
      <c r="F15" s="20"/>
    </row>
    <row r="16" spans="1:6" x14ac:dyDescent="0.2">
      <c r="A16" s="20"/>
      <c r="B16" s="20" t="s">
        <v>87</v>
      </c>
      <c r="C16" s="20">
        <v>3</v>
      </c>
      <c r="D16" s="20"/>
      <c r="E16" s="20"/>
      <c r="F16" s="20"/>
    </row>
    <row r="17" spans="1:6" x14ac:dyDescent="0.2">
      <c r="A17" s="20"/>
      <c r="B17" s="20" t="s">
        <v>38</v>
      </c>
      <c r="C17" s="20">
        <v>9</v>
      </c>
      <c r="D17" s="20"/>
      <c r="E17" s="28" t="s">
        <v>28</v>
      </c>
      <c r="F17" s="28" t="s">
        <v>88</v>
      </c>
    </row>
    <row r="18" spans="1:6" x14ac:dyDescent="0.2">
      <c r="A18" s="20"/>
      <c r="B18" s="20" t="s">
        <v>89</v>
      </c>
      <c r="C18" s="20">
        <v>28</v>
      </c>
      <c r="D18" s="20"/>
      <c r="E18" s="20" t="s">
        <v>31</v>
      </c>
      <c r="F18" s="27">
        <v>300</v>
      </c>
    </row>
    <row r="19" spans="1:6" x14ac:dyDescent="0.2">
      <c r="A19" s="20"/>
      <c r="B19" s="20" t="s">
        <v>90</v>
      </c>
      <c r="C19" s="20">
        <v>5</v>
      </c>
      <c r="D19" s="20"/>
      <c r="E19" s="20"/>
      <c r="F19" s="20"/>
    </row>
    <row r="20" spans="1:6" x14ac:dyDescent="0.2">
      <c r="A20" s="20"/>
      <c r="B20" s="20" t="s">
        <v>91</v>
      </c>
      <c r="C20" s="20">
        <v>6</v>
      </c>
      <c r="D20" s="20"/>
      <c r="E20" s="28" t="s">
        <v>92</v>
      </c>
      <c r="F20" s="28" t="s">
        <v>37</v>
      </c>
    </row>
    <row r="21" spans="1:6" x14ac:dyDescent="0.2">
      <c r="A21" s="20"/>
      <c r="B21" s="20" t="s">
        <v>93</v>
      </c>
      <c r="C21" s="20">
        <v>13</v>
      </c>
      <c r="D21" s="20"/>
      <c r="E21" s="20" t="s">
        <v>94</v>
      </c>
      <c r="F21" s="27">
        <v>4</v>
      </c>
    </row>
    <row r="22" spans="1:6" x14ac:dyDescent="0.2">
      <c r="A22" s="20"/>
      <c r="B22" s="20" t="s">
        <v>95</v>
      </c>
      <c r="C22" s="20">
        <v>2</v>
      </c>
      <c r="D22" s="20"/>
      <c r="E22" s="20" t="s">
        <v>96</v>
      </c>
      <c r="F22" s="27">
        <v>2</v>
      </c>
    </row>
    <row r="23" spans="1:6" x14ac:dyDescent="0.2">
      <c r="A23" s="20"/>
      <c r="B23" s="20" t="s">
        <v>97</v>
      </c>
      <c r="C23" s="20">
        <v>7</v>
      </c>
      <c r="D23" s="20"/>
      <c r="E23" s="20" t="s">
        <v>98</v>
      </c>
      <c r="F23" s="27">
        <v>2</v>
      </c>
    </row>
    <row r="24" spans="1:6" x14ac:dyDescent="0.2">
      <c r="A24" s="20"/>
      <c r="B24" s="20" t="s">
        <v>99</v>
      </c>
      <c r="C24" s="20">
        <v>5</v>
      </c>
      <c r="D24" s="20"/>
      <c r="E24" s="20" t="s">
        <v>100</v>
      </c>
      <c r="F24" s="27">
        <v>2</v>
      </c>
    </row>
    <row r="25" spans="1:6" x14ac:dyDescent="0.2">
      <c r="A25" s="20"/>
      <c r="B25" s="20" t="s">
        <v>101</v>
      </c>
      <c r="C25" s="20">
        <v>2</v>
      </c>
      <c r="D25" s="20"/>
      <c r="E25" s="20" t="s">
        <v>102</v>
      </c>
      <c r="F25" s="27">
        <v>2</v>
      </c>
    </row>
    <row r="26" spans="1:6" x14ac:dyDescent="0.2">
      <c r="A26" s="20"/>
      <c r="B26" s="20" t="s">
        <v>103</v>
      </c>
      <c r="C26" s="20">
        <v>14</v>
      </c>
      <c r="D26" s="20"/>
      <c r="E26" s="20" t="s">
        <v>104</v>
      </c>
      <c r="F26" s="27">
        <v>2</v>
      </c>
    </row>
    <row r="27" spans="1:6" x14ac:dyDescent="0.2">
      <c r="A27" s="20"/>
      <c r="B27" s="20" t="s">
        <v>105</v>
      </c>
      <c r="C27" s="20">
        <v>2</v>
      </c>
      <c r="D27" s="20"/>
      <c r="E27" s="20" t="s">
        <v>106</v>
      </c>
      <c r="F27" s="27">
        <v>12</v>
      </c>
    </row>
    <row r="28" spans="1:6" x14ac:dyDescent="0.2">
      <c r="A28" s="20"/>
      <c r="B28" s="20" t="s">
        <v>107</v>
      </c>
      <c r="C28" s="20">
        <v>2</v>
      </c>
      <c r="D28" s="20"/>
      <c r="E28" s="20" t="s">
        <v>57</v>
      </c>
      <c r="F28" s="27">
        <v>4</v>
      </c>
    </row>
    <row r="29" spans="1:6" x14ac:dyDescent="0.2">
      <c r="A29" s="20"/>
      <c r="B29" s="20" t="s">
        <v>108</v>
      </c>
      <c r="C29" s="20">
        <v>3</v>
      </c>
      <c r="D29" s="20"/>
      <c r="E29" s="20" t="s">
        <v>109</v>
      </c>
      <c r="F29" s="27">
        <v>2</v>
      </c>
    </row>
    <row r="30" spans="1:6" x14ac:dyDescent="0.2">
      <c r="A30" s="20"/>
      <c r="B30" s="20" t="s">
        <v>110</v>
      </c>
      <c r="C30" s="20">
        <v>5</v>
      </c>
      <c r="D30" s="20"/>
      <c r="E30" s="20" t="s">
        <v>111</v>
      </c>
      <c r="F30" s="27">
        <v>25</v>
      </c>
    </row>
    <row r="31" spans="1:6" x14ac:dyDescent="0.2">
      <c r="A31" s="20"/>
      <c r="B31" s="20" t="s">
        <v>112</v>
      </c>
      <c r="C31" s="20">
        <v>5</v>
      </c>
      <c r="D31" s="20"/>
      <c r="E31" s="20" t="s">
        <v>113</v>
      </c>
      <c r="F31" s="27">
        <v>2</v>
      </c>
    </row>
    <row r="32" spans="1:6" x14ac:dyDescent="0.2">
      <c r="A32" s="20"/>
      <c r="B32" s="20" t="s">
        <v>114</v>
      </c>
      <c r="C32" s="20">
        <v>7</v>
      </c>
      <c r="D32" s="20"/>
      <c r="E32" s="20" t="s">
        <v>115</v>
      </c>
      <c r="F32" s="27">
        <v>4</v>
      </c>
    </row>
    <row r="33" spans="1:7" x14ac:dyDescent="0.2">
      <c r="A33" s="20"/>
      <c r="B33" s="20" t="s">
        <v>65</v>
      </c>
      <c r="C33" s="20">
        <v>1</v>
      </c>
      <c r="D33" s="20"/>
      <c r="E33" s="20" t="s">
        <v>116</v>
      </c>
      <c r="F33" s="27">
        <v>2</v>
      </c>
    </row>
    <row r="34" spans="1:7" x14ac:dyDescent="0.2">
      <c r="A34" s="20"/>
      <c r="B34" s="20" t="s">
        <v>117</v>
      </c>
      <c r="C34" s="20">
        <v>1</v>
      </c>
      <c r="D34" s="20"/>
      <c r="E34" s="20" t="s">
        <v>118</v>
      </c>
      <c r="F34" s="27">
        <v>162</v>
      </c>
    </row>
    <row r="35" spans="1:7" x14ac:dyDescent="0.2">
      <c r="A35" s="20"/>
      <c r="B35" s="20" t="s">
        <v>119</v>
      </c>
      <c r="C35" s="20">
        <v>14</v>
      </c>
      <c r="D35" s="20"/>
      <c r="E35" s="20" t="s">
        <v>120</v>
      </c>
      <c r="F35" s="27">
        <v>3</v>
      </c>
    </row>
    <row r="36" spans="1:7" x14ac:dyDescent="0.2">
      <c r="A36" s="20"/>
      <c r="B36" s="20" t="s">
        <v>121</v>
      </c>
      <c r="C36" s="20">
        <v>9</v>
      </c>
      <c r="D36" s="20"/>
      <c r="E36" s="20" t="s">
        <v>122</v>
      </c>
      <c r="F36" s="27">
        <v>4</v>
      </c>
    </row>
    <row r="37" spans="1:7" x14ac:dyDescent="0.2">
      <c r="A37" s="20"/>
      <c r="B37" s="20" t="s">
        <v>123</v>
      </c>
      <c r="C37" s="20">
        <v>5</v>
      </c>
      <c r="D37" s="20"/>
      <c r="E37" s="20" t="s">
        <v>124</v>
      </c>
      <c r="F37" s="27">
        <v>6</v>
      </c>
    </row>
    <row r="38" spans="1:7" x14ac:dyDescent="0.2">
      <c r="A38" s="20"/>
      <c r="B38" s="20" t="s">
        <v>125</v>
      </c>
      <c r="C38" s="20">
        <v>4</v>
      </c>
      <c r="D38" s="20"/>
      <c r="E38" s="20" t="s">
        <v>126</v>
      </c>
      <c r="F38" s="27">
        <v>2</v>
      </c>
    </row>
    <row r="39" spans="1:7" x14ac:dyDescent="0.2">
      <c r="A39" s="20"/>
      <c r="B39" s="20" t="s">
        <v>127</v>
      </c>
      <c r="C39" s="20">
        <v>30</v>
      </c>
      <c r="D39" s="20"/>
      <c r="E39" s="20" t="s">
        <v>128</v>
      </c>
      <c r="F39" s="27">
        <v>64</v>
      </c>
    </row>
    <row r="40" spans="1:7" x14ac:dyDescent="0.2">
      <c r="A40" s="20"/>
      <c r="B40" s="20" t="s">
        <v>129</v>
      </c>
      <c r="C40" s="20">
        <v>2</v>
      </c>
      <c r="D40" s="20"/>
      <c r="E40" s="20" t="s">
        <v>130</v>
      </c>
      <c r="F40" s="27">
        <v>4</v>
      </c>
    </row>
    <row r="41" spans="1:7" x14ac:dyDescent="0.2">
      <c r="A41" s="20"/>
      <c r="B41" s="20" t="s">
        <v>131</v>
      </c>
      <c r="C41" s="20">
        <v>4</v>
      </c>
      <c r="D41" s="20"/>
      <c r="E41" s="29" t="s">
        <v>132</v>
      </c>
      <c r="F41" s="27">
        <v>162</v>
      </c>
      <c r="G41" s="11"/>
    </row>
    <row r="42" spans="1:7" x14ac:dyDescent="0.2">
      <c r="A42" s="20"/>
      <c r="B42" s="20" t="s">
        <v>133</v>
      </c>
      <c r="C42" s="20">
        <v>3</v>
      </c>
      <c r="D42" s="20"/>
      <c r="E42" s="20" t="s">
        <v>134</v>
      </c>
      <c r="F42" s="27">
        <v>7</v>
      </c>
    </row>
    <row r="43" spans="1:7" x14ac:dyDescent="0.2">
      <c r="A43" s="20"/>
      <c r="B43" s="20" t="s">
        <v>135</v>
      </c>
      <c r="C43" s="20">
        <v>3</v>
      </c>
      <c r="D43" s="20"/>
      <c r="E43" s="20"/>
      <c r="F43" s="20"/>
    </row>
    <row r="44" spans="1:7" x14ac:dyDescent="0.2">
      <c r="A44" s="20"/>
      <c r="B44" s="20" t="s">
        <v>136</v>
      </c>
      <c r="C44" s="20">
        <v>1</v>
      </c>
      <c r="D44" s="20"/>
      <c r="E44" s="20"/>
      <c r="F44" s="20"/>
    </row>
    <row r="45" spans="1:7" x14ac:dyDescent="0.2">
      <c r="A45" s="20"/>
      <c r="B45" s="20" t="s">
        <v>137</v>
      </c>
      <c r="C45" s="20">
        <v>9</v>
      </c>
      <c r="D45" s="20"/>
      <c r="E45" s="28" t="s">
        <v>138</v>
      </c>
      <c r="F45" s="28" t="s">
        <v>37</v>
      </c>
      <c r="G45" s="11"/>
    </row>
    <row r="46" spans="1:7" x14ac:dyDescent="0.2">
      <c r="A46" s="20"/>
      <c r="B46" s="20" t="s">
        <v>139</v>
      </c>
      <c r="C46" s="20">
        <v>1</v>
      </c>
      <c r="D46" s="20"/>
      <c r="E46" s="20" t="s">
        <v>140</v>
      </c>
      <c r="F46" s="27">
        <v>1</v>
      </c>
    </row>
    <row r="47" spans="1:7" x14ac:dyDescent="0.2">
      <c r="A47" s="20"/>
      <c r="B47" s="20" t="s">
        <v>141</v>
      </c>
      <c r="C47" s="20">
        <v>1</v>
      </c>
      <c r="D47" s="20"/>
      <c r="E47" s="20" t="s">
        <v>142</v>
      </c>
      <c r="F47" s="27">
        <v>2</v>
      </c>
    </row>
    <row r="48" spans="1:7" x14ac:dyDescent="0.2">
      <c r="A48" s="20"/>
      <c r="B48" s="20" t="s">
        <v>143</v>
      </c>
      <c r="C48" s="20">
        <v>4</v>
      </c>
      <c r="D48" s="20"/>
      <c r="E48" s="20" t="s">
        <v>144</v>
      </c>
      <c r="F48" s="27">
        <v>2</v>
      </c>
    </row>
    <row r="49" spans="1:6" x14ac:dyDescent="0.2">
      <c r="A49" s="20"/>
      <c r="B49" s="20" t="s">
        <v>145</v>
      </c>
      <c r="C49" s="20">
        <v>4</v>
      </c>
      <c r="D49" s="20"/>
      <c r="E49" s="20" t="s">
        <v>146</v>
      </c>
      <c r="F49" s="27">
        <v>4</v>
      </c>
    </row>
    <row r="50" spans="1:6" ht="15" customHeight="1" x14ac:dyDescent="0.2">
      <c r="A50" s="20"/>
      <c r="B50" s="20" t="s">
        <v>147</v>
      </c>
      <c r="C50" s="20">
        <v>4</v>
      </c>
      <c r="D50" s="20"/>
      <c r="E50" s="20"/>
      <c r="F50" s="20"/>
    </row>
    <row r="51" spans="1:6" ht="15" customHeight="1" x14ac:dyDescent="0.2">
      <c r="A51" s="20"/>
      <c r="B51" s="20" t="s">
        <v>148</v>
      </c>
      <c r="C51" s="20">
        <v>53</v>
      </c>
      <c r="D51" s="20"/>
      <c r="E51" s="20"/>
      <c r="F51" s="20"/>
    </row>
    <row r="52" spans="1:6" ht="15" customHeight="1" x14ac:dyDescent="0.2">
      <c r="A52" s="20"/>
      <c r="B52" s="20" t="s">
        <v>149</v>
      </c>
      <c r="C52" s="20">
        <v>1</v>
      </c>
      <c r="D52" s="20"/>
      <c r="E52" s="20"/>
      <c r="F52" s="20"/>
    </row>
    <row r="53" spans="1:6" x14ac:dyDescent="0.2">
      <c r="A53" s="20"/>
      <c r="B53" s="20" t="s">
        <v>150</v>
      </c>
      <c r="C53" s="20">
        <v>1</v>
      </c>
      <c r="D53" s="20"/>
      <c r="E53" s="20"/>
      <c r="F53" s="20"/>
    </row>
    <row r="54" spans="1:6" x14ac:dyDescent="0.2">
      <c r="A54" s="20"/>
      <c r="B54" s="20" t="s">
        <v>151</v>
      </c>
      <c r="C54" s="20">
        <v>2</v>
      </c>
      <c r="D54" s="20"/>
      <c r="E54" s="20"/>
      <c r="F54" s="20"/>
    </row>
    <row r="55" spans="1:6" x14ac:dyDescent="0.2">
      <c r="A55" s="20"/>
      <c r="B55" s="20" t="s">
        <v>152</v>
      </c>
      <c r="C55" s="20">
        <v>1</v>
      </c>
      <c r="D55" s="20"/>
      <c r="E55" s="20"/>
      <c r="F55" s="20"/>
    </row>
    <row r="56" spans="1:6" x14ac:dyDescent="0.2">
      <c r="A56" s="20"/>
      <c r="B56" s="20" t="s">
        <v>153</v>
      </c>
      <c r="C56" s="20">
        <v>7</v>
      </c>
      <c r="D56" s="20"/>
      <c r="E56" s="20"/>
      <c r="F56" s="20"/>
    </row>
    <row r="57" spans="1:6" x14ac:dyDescent="0.2">
      <c r="A57" s="20"/>
      <c r="B57" s="20" t="s">
        <v>154</v>
      </c>
      <c r="C57" s="20">
        <v>6</v>
      </c>
      <c r="D57" s="20"/>
      <c r="E57" s="20"/>
      <c r="F57" s="20"/>
    </row>
    <row r="58" spans="1:6" x14ac:dyDescent="0.2">
      <c r="A58" s="20"/>
      <c r="B58" s="20" t="s">
        <v>155</v>
      </c>
      <c r="C58" s="20">
        <v>8</v>
      </c>
      <c r="D58" s="20"/>
      <c r="E58" s="20"/>
      <c r="F58" s="20"/>
    </row>
    <row r="59" spans="1:6" x14ac:dyDescent="0.2">
      <c r="A59" s="20"/>
      <c r="B59" s="20" t="s">
        <v>156</v>
      </c>
      <c r="C59" s="20">
        <v>2</v>
      </c>
      <c r="D59" s="20"/>
      <c r="E59" s="20"/>
      <c r="F59" s="20"/>
    </row>
    <row r="60" spans="1:6" x14ac:dyDescent="0.2">
      <c r="A60" s="20"/>
      <c r="B60" s="20" t="s">
        <v>157</v>
      </c>
      <c r="C60" s="20">
        <v>8</v>
      </c>
      <c r="D60" s="20"/>
      <c r="E60" s="20"/>
      <c r="F60" s="20"/>
    </row>
    <row r="61" spans="1:6" x14ac:dyDescent="0.2">
      <c r="A61" s="20"/>
      <c r="B61" s="21" t="s">
        <v>158</v>
      </c>
      <c r="C61" s="21">
        <f xml:space="preserve"> SUM(F21:F42) + ROWS(B10:B60) - ROWS(F21:F42)</f>
        <v>508</v>
      </c>
      <c r="D61" s="20"/>
      <c r="E61" s="20"/>
      <c r="F61" s="20"/>
    </row>
    <row r="62" spans="1:6" x14ac:dyDescent="0.2">
      <c r="A62" s="20"/>
      <c r="B62" s="21" t="s">
        <v>159</v>
      </c>
      <c r="C62" s="21">
        <f>SUMPRODUCT(C10:C31, F18:F39)+SUM(C32:C60)</f>
        <v>10364</v>
      </c>
      <c r="D62" s="20"/>
      <c r="E62" s="20"/>
      <c r="F62" s="20"/>
    </row>
    <row r="63" spans="1:6" x14ac:dyDescent="0.2">
      <c r="A63" s="20"/>
      <c r="B63" s="20"/>
      <c r="C63" s="20"/>
      <c r="D63" s="20"/>
      <c r="E63" s="20"/>
      <c r="F63" s="20"/>
    </row>
    <row r="64" spans="1:6" x14ac:dyDescent="0.2">
      <c r="A64" s="20"/>
      <c r="B64" s="25" t="s">
        <v>160</v>
      </c>
      <c r="C64" s="25" t="s">
        <v>27</v>
      </c>
      <c r="D64" s="20"/>
      <c r="E64" s="20"/>
      <c r="F64" s="20"/>
    </row>
    <row r="65" spans="1:6" x14ac:dyDescent="0.2">
      <c r="A65" s="20"/>
      <c r="B65" s="20" t="s">
        <v>73</v>
      </c>
      <c r="C65" s="20">
        <v>15</v>
      </c>
      <c r="D65" s="20"/>
      <c r="E65" s="20"/>
      <c r="F65" s="20"/>
    </row>
    <row r="66" spans="1:6" x14ac:dyDescent="0.2">
      <c r="A66" s="20"/>
      <c r="B66" s="20" t="s">
        <v>38</v>
      </c>
      <c r="C66" s="20">
        <v>27</v>
      </c>
      <c r="D66" s="30"/>
      <c r="E66" s="20"/>
      <c r="F66" s="20"/>
    </row>
    <row r="67" spans="1:6" x14ac:dyDescent="0.2">
      <c r="A67" s="20"/>
      <c r="B67" s="20" t="s">
        <v>74</v>
      </c>
      <c r="C67" s="20">
        <v>11</v>
      </c>
      <c r="D67" s="20"/>
      <c r="E67" s="20"/>
      <c r="F67" s="20"/>
    </row>
    <row r="68" spans="1:6" x14ac:dyDescent="0.2">
      <c r="A68" s="20"/>
      <c r="B68" s="20" t="s">
        <v>75</v>
      </c>
      <c r="C68" s="20">
        <v>8</v>
      </c>
      <c r="D68" s="20"/>
      <c r="E68" s="20"/>
      <c r="F68" s="20"/>
    </row>
    <row r="69" spans="1:6" x14ac:dyDescent="0.2">
      <c r="A69" s="20"/>
      <c r="B69" s="21" t="s">
        <v>161</v>
      </c>
      <c r="C69" s="21">
        <f>SUM(F46:F49)</f>
        <v>9</v>
      </c>
      <c r="D69" s="20"/>
      <c r="E69" s="20"/>
      <c r="F69" s="20"/>
    </row>
    <row r="70" spans="1:6" x14ac:dyDescent="0.2">
      <c r="A70" s="20"/>
      <c r="B70" s="21" t="s">
        <v>162</v>
      </c>
      <c r="C70" s="21">
        <f>SUMPRODUCT(C65:C68, F46:F49)</f>
        <v>123</v>
      </c>
      <c r="D70" s="20"/>
      <c r="E70" s="20"/>
      <c r="F70" s="20"/>
    </row>
    <row r="71" spans="1:6" x14ac:dyDescent="0.2">
      <c r="A71" s="20"/>
      <c r="B71" s="20"/>
      <c r="C71" s="20"/>
      <c r="D71" s="20"/>
      <c r="E71" s="20"/>
      <c r="F71" s="20"/>
    </row>
    <row r="72" spans="1:6" x14ac:dyDescent="0.2">
      <c r="A72" s="20"/>
      <c r="B72" s="28" t="s">
        <v>163</v>
      </c>
      <c r="C72" s="28" t="s">
        <v>27</v>
      </c>
      <c r="D72" s="20"/>
      <c r="E72" s="20"/>
      <c r="F72" s="20"/>
    </row>
    <row r="73" spans="1:6" x14ac:dyDescent="0.2">
      <c r="A73" s="20"/>
      <c r="B73" s="20" t="s">
        <v>164</v>
      </c>
      <c r="C73" s="20">
        <v>21</v>
      </c>
      <c r="D73" s="20"/>
      <c r="E73" s="20"/>
      <c r="F73" s="20"/>
    </row>
    <row r="74" spans="1:6" x14ac:dyDescent="0.2">
      <c r="A74" s="20"/>
      <c r="B74" s="21" t="s">
        <v>165</v>
      </c>
      <c r="C74" s="21">
        <v>21</v>
      </c>
      <c r="D74" s="20"/>
      <c r="E74" s="20"/>
      <c r="F74" s="20"/>
    </row>
    <row r="75" spans="1:6" x14ac:dyDescent="0.2">
      <c r="A75" s="20"/>
      <c r="B75" s="20"/>
      <c r="C75" s="20"/>
      <c r="D75" s="20"/>
      <c r="E75" s="20"/>
      <c r="F75" s="20"/>
    </row>
    <row r="76" spans="1:6" x14ac:dyDescent="0.2">
      <c r="A76" s="20"/>
      <c r="B76" s="20"/>
      <c r="C76" s="20"/>
      <c r="D76" s="20"/>
      <c r="E76" s="20"/>
      <c r="F76" s="20"/>
    </row>
    <row r="77" spans="1:6" x14ac:dyDescent="0.2">
      <c r="A77" s="20"/>
      <c r="B77" s="20"/>
      <c r="C77" s="20"/>
      <c r="D77" s="20"/>
      <c r="E77" s="20"/>
      <c r="F77" s="20"/>
    </row>
    <row r="78" spans="1:6" x14ac:dyDescent="0.2">
      <c r="A78" s="20"/>
      <c r="B78" s="20"/>
      <c r="C78" s="20"/>
      <c r="D78" s="20"/>
      <c r="E78" s="20"/>
      <c r="F78" s="20"/>
    </row>
    <row r="79" spans="1:6" x14ac:dyDescent="0.2">
      <c r="A79" s="20"/>
      <c r="B79" s="20"/>
      <c r="C79" s="20"/>
      <c r="D79" s="20"/>
      <c r="E79" s="20"/>
      <c r="F79" s="20"/>
    </row>
    <row r="80" spans="1:6" x14ac:dyDescent="0.2">
      <c r="A80" s="20"/>
      <c r="B80" s="20"/>
      <c r="C80" s="20"/>
      <c r="D80" s="20"/>
      <c r="E80" s="20"/>
      <c r="F80" s="20"/>
    </row>
    <row r="81" spans="1:6" x14ac:dyDescent="0.2">
      <c r="A81" s="20"/>
      <c r="B81" s="20"/>
      <c r="C81" s="20"/>
      <c r="D81" s="20"/>
      <c r="E81" s="20"/>
      <c r="F81" s="20"/>
    </row>
    <row r="82" spans="1:6" x14ac:dyDescent="0.2">
      <c r="A82" s="20"/>
      <c r="B82" s="20"/>
      <c r="C82" s="20"/>
      <c r="D82" s="20"/>
      <c r="E82" s="20"/>
      <c r="F82" s="20"/>
    </row>
    <row r="83" spans="1:6" x14ac:dyDescent="0.2">
      <c r="A83" s="20"/>
      <c r="B83" s="20"/>
      <c r="C83" s="20"/>
      <c r="D83" s="20"/>
      <c r="E83" s="20"/>
      <c r="F83" s="20"/>
    </row>
    <row r="84" spans="1:6" x14ac:dyDescent="0.2">
      <c r="A84" s="20"/>
      <c r="B84" s="20"/>
      <c r="C84" s="20"/>
      <c r="D84" s="20"/>
      <c r="E84" s="20"/>
      <c r="F84" s="20"/>
    </row>
    <row r="85" spans="1:6" x14ac:dyDescent="0.2">
      <c r="A85" s="20"/>
      <c r="B85" s="20"/>
      <c r="C85" s="20"/>
      <c r="D85" s="20"/>
      <c r="E85" s="20"/>
      <c r="F8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 sizing</vt:lpstr>
      <vt:lpstr>Aruba Wi-Fi Sizing  </vt:lpstr>
      <vt:lpstr>Cisco Wi-Fi Sizing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Namitha Nagireddy</dc:creator>
  <cp:keywords/>
  <dc:description/>
  <cp:lastModifiedBy>Sai Namitha Nagireddy</cp:lastModifiedBy>
  <cp:revision/>
  <dcterms:created xsi:type="dcterms:W3CDTF">2025-11-25T09:52:44Z</dcterms:created>
  <dcterms:modified xsi:type="dcterms:W3CDTF">2026-02-03T05:43:19Z</dcterms:modified>
  <cp:category/>
  <cp:contentStatus/>
</cp:coreProperties>
</file>