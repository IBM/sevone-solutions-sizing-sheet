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rajkumar/Documents/sevone-solutions-sizing-sheet/"/>
    </mc:Choice>
  </mc:AlternateContent>
  <xr:revisionPtr revIDLastSave="0" documentId="13_ncr:1_{6B230710-DF04-E24C-85C7-88A236F6E0EE}" xr6:coauthVersionLast="47" xr6:coauthVersionMax="47" xr10:uidLastSave="{00000000-0000-0000-0000-000000000000}"/>
  <bookViews>
    <workbookView xWindow="0" yWindow="680" windowWidth="34560" windowHeight="20380" xr2:uid="{00000000-000D-0000-FFFF-FFFF00000000}"/>
  </bookViews>
  <sheets>
    <sheet name="PAS sizing" sheetId="1" r:id="rId1"/>
    <sheet name="Mi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2" l="1"/>
  <c r="C17" i="2"/>
  <c r="C6" i="2" s="1"/>
  <c r="C7" i="2"/>
  <c r="C8" i="2" s="1"/>
  <c r="C5" i="2"/>
</calcChain>
</file>

<file path=xl/sharedStrings.xml><?xml version="1.0" encoding="utf-8"?>
<sst xmlns="http://schemas.openxmlformats.org/spreadsheetml/2006/main" count="48" uniqueCount="47">
  <si>
    <t>Appliance</t>
  </si>
  <si>
    <t>Maximum</t>
  </si>
  <si>
    <t>Indicators/Sec</t>
  </si>
  <si>
    <t>Object count</t>
  </si>
  <si>
    <t>PAS 5K, vPAS 5k</t>
  </si>
  <si>
    <t>5K</t>
  </si>
  <si>
    <t>PAS 10K, vPAS 10k</t>
  </si>
  <si>
    <t>10K</t>
  </si>
  <si>
    <t>PAS 20K, vPAS 20k</t>
  </si>
  <si>
    <t>20K</t>
  </si>
  <si>
    <t>PAS 40K</t>
  </si>
  <si>
    <t>40K</t>
  </si>
  <si>
    <t xml:space="preserve">PAS 60K </t>
  </si>
  <si>
    <t>50K</t>
  </si>
  <si>
    <t>vPAS100k</t>
  </si>
  <si>
    <t>100K</t>
  </si>
  <si>
    <t>PAS 200K</t>
  </si>
  <si>
    <t>200K</t>
  </si>
  <si>
    <t>PAS 300K</t>
  </si>
  <si>
    <t>300K</t>
  </si>
  <si>
    <t>Legend</t>
  </si>
  <si>
    <t>Provide the device and polling interval in the - Yellow fields</t>
  </si>
  <si>
    <t>Calculated output for IPS and Object Counts for PAS sizing</t>
  </si>
  <si>
    <t>Total Devices</t>
  </si>
  <si>
    <t>Total Objects</t>
  </si>
  <si>
    <t>Total Indicators</t>
  </si>
  <si>
    <t>Total Indicators Per Second</t>
  </si>
  <si>
    <t>Device Types</t>
  </si>
  <si>
    <t>Device Count</t>
  </si>
  <si>
    <t>Estimated objects per Mist AP</t>
  </si>
  <si>
    <t>Indicators</t>
  </si>
  <si>
    <t>Wi-Fi AP</t>
  </si>
  <si>
    <t>AP Wi-Fi</t>
  </si>
  <si>
    <t>AP Radio</t>
  </si>
  <si>
    <t>CPU</t>
  </si>
  <si>
    <t>Interface</t>
  </si>
  <si>
    <t>Polling Interval (s)</t>
  </si>
  <si>
    <t>Memory</t>
  </si>
  <si>
    <t>Polling Interval for Mist devices</t>
  </si>
  <si>
    <t>Sensor</t>
  </si>
  <si>
    <t>Total no. of objects per AP</t>
  </si>
  <si>
    <t>Total no. of indicators per AP</t>
  </si>
  <si>
    <t>Mist Object Type</t>
  </si>
  <si>
    <t>Object Count</t>
  </si>
  <si>
    <t>Approx. AP Radios per AP</t>
  </si>
  <si>
    <t>Approx. Interfaces per AP</t>
  </si>
  <si>
    <t>Approx. Sensors per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</si>
</sst>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rgb="FF000000"/>
      <name val="Arial"/>
      <scheme val="minor"/>
    </font>
    <font>
      <b/>
      <sz val="18"/>
      <color rgb="FFFFFFFF"/>
      <name val="Arial"/>
    </font>
    <font>
      <sz val="12"/>
      <name val="Arial"/>
    </font>
    <font>
      <sz val="16"/>
      <color rgb="FF000000"/>
      <name val="Arial"/>
    </font>
    <font>
      <b/>
      <sz val="12"/>
      <color rgb="FF000000"/>
      <name val="Arial"/>
    </font>
    <font>
      <sz val="12"/>
      <color rgb="FF000000"/>
      <name val="Arial"/>
    </font>
    <font>
      <b/>
      <sz val="12"/>
      <color rgb="FF000000"/>
      <name val="Calibri"/>
    </font>
    <font>
      <b/>
      <sz val="12"/>
      <color rgb="FF242424"/>
      <name val="Calibri"/>
    </font>
    <font>
      <sz val="12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4375A7"/>
        <bgColor rgb="FF4375A7"/>
      </patternFill>
    </fill>
    <fill>
      <patternFill patternType="solid">
        <fgColor rgb="FFCFD6E1"/>
        <bgColor rgb="FFCFD6E1"/>
      </patternFill>
    </fill>
    <fill>
      <patternFill patternType="solid">
        <fgColor rgb="FFE9ECF1"/>
        <bgColor rgb="FFE9ECF1"/>
      </patternFill>
    </fill>
    <fill>
      <patternFill patternType="solid">
        <fgColor rgb="FFFFFF00"/>
        <bgColor rgb="FFFFFF00"/>
      </patternFill>
    </fill>
    <fill>
      <patternFill patternType="solid">
        <fgColor rgb="FF33FF99"/>
        <bgColor rgb="FF33FF99"/>
      </patternFill>
    </fill>
    <fill>
      <patternFill patternType="solid">
        <fgColor rgb="FFBFBFBF"/>
        <bgColor rgb="FFBFBFBF"/>
      </patternFill>
    </fill>
  </fills>
  <borders count="8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/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left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left" vertical="center" wrapText="1"/>
    </xf>
    <xf numFmtId="3" fontId="3" fillId="3" borderId="6" xfId="0" applyNumberFormat="1" applyFont="1" applyFill="1" applyBorder="1" applyAlignment="1">
      <alignment horizontal="center" vertical="center" wrapText="1"/>
    </xf>
    <xf numFmtId="3" fontId="3" fillId="4" borderId="6" xfId="0" applyNumberFormat="1" applyFont="1" applyFill="1" applyBorder="1" applyAlignment="1">
      <alignment horizontal="center" vertical="center" wrapText="1"/>
    </xf>
    <xf numFmtId="0" fontId="4" fillId="0" borderId="0" xfId="0" applyFont="1"/>
    <xf numFmtId="3" fontId="5" fillId="5" borderId="7" xfId="0" applyNumberFormat="1" applyFont="1" applyFill="1" applyBorder="1"/>
    <xf numFmtId="0" fontId="6" fillId="0" borderId="0" xfId="0" applyFont="1"/>
    <xf numFmtId="0" fontId="7" fillId="6" borderId="7" xfId="0" applyFont="1" applyFill="1" applyBorder="1"/>
    <xf numFmtId="3" fontId="6" fillId="6" borderId="7" xfId="0" applyNumberFormat="1" applyFont="1" applyFill="1" applyBorder="1"/>
    <xf numFmtId="0" fontId="7" fillId="7" borderId="7" xfId="0" applyFont="1" applyFill="1" applyBorder="1"/>
    <xf numFmtId="0" fontId="6" fillId="7" borderId="7" xfId="0" applyFont="1" applyFill="1" applyBorder="1"/>
    <xf numFmtId="0" fontId="8" fillId="0" borderId="0" xfId="0" applyFont="1"/>
    <xf numFmtId="3" fontId="8" fillId="0" borderId="0" xfId="0" applyNumberFormat="1" applyFont="1"/>
    <xf numFmtId="0" fontId="5" fillId="5" borderId="7" xfId="0" applyFont="1" applyFill="1" applyBorder="1"/>
    <xf numFmtId="3" fontId="6" fillId="0" borderId="0" xfId="0" applyNumberFormat="1" applyFont="1"/>
    <xf numFmtId="3" fontId="4" fillId="0" borderId="0" xfId="0" applyNumberFormat="1" applyFont="1"/>
    <xf numFmtId="0" fontId="1" fillId="2" borderId="1" xfId="0" applyFont="1" applyFill="1" applyBorder="1" applyAlignment="1">
      <alignment horizontal="center" vertical="center" wrapText="1"/>
    </xf>
    <xf numFmtId="0" fontId="2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E1000"/>
  <sheetViews>
    <sheetView tabSelected="1" workbookViewId="0">
      <selection activeCell="C16" sqref="C16"/>
    </sheetView>
  </sheetViews>
  <sheetFormatPr baseColWidth="10" defaultColWidth="10.140625" defaultRowHeight="15" customHeight="1" x14ac:dyDescent="0.2"/>
  <cols>
    <col min="1" max="2" width="13" customWidth="1"/>
    <col min="3" max="3" width="50.28515625" customWidth="1"/>
    <col min="4" max="4" width="52.42578125" customWidth="1"/>
    <col min="5" max="5" width="43.42578125" customWidth="1"/>
    <col min="6" max="6" width="13" customWidth="1"/>
    <col min="7" max="26" width="8.7109375" customWidth="1"/>
  </cols>
  <sheetData>
    <row r="1" spans="3:5" ht="15.75" customHeight="1" x14ac:dyDescent="0.2"/>
    <row r="2" spans="3:5" ht="15.75" customHeight="1" x14ac:dyDescent="0.2"/>
    <row r="3" spans="3:5" ht="37.5" customHeight="1" x14ac:dyDescent="0.2">
      <c r="C3" s="22" t="s">
        <v>0</v>
      </c>
      <c r="D3" s="1" t="s">
        <v>1</v>
      </c>
      <c r="E3" s="1" t="s">
        <v>1</v>
      </c>
    </row>
    <row r="4" spans="3:5" ht="30" customHeight="1" x14ac:dyDescent="0.2">
      <c r="C4" s="23"/>
      <c r="D4" s="2" t="s">
        <v>2</v>
      </c>
      <c r="E4" s="2" t="s">
        <v>3</v>
      </c>
    </row>
    <row r="5" spans="3:5" ht="39.75" customHeight="1" x14ac:dyDescent="0.2">
      <c r="C5" s="3" t="s">
        <v>4</v>
      </c>
      <c r="D5" s="4">
        <v>333</v>
      </c>
      <c r="E5" s="4" t="s">
        <v>5</v>
      </c>
    </row>
    <row r="6" spans="3:5" ht="36.75" customHeight="1" x14ac:dyDescent="0.2">
      <c r="C6" s="5" t="s">
        <v>6</v>
      </c>
      <c r="D6" s="6">
        <v>666</v>
      </c>
      <c r="E6" s="6" t="s">
        <v>7</v>
      </c>
    </row>
    <row r="7" spans="3:5" ht="39" customHeight="1" x14ac:dyDescent="0.2">
      <c r="C7" s="7" t="s">
        <v>8</v>
      </c>
      <c r="D7" s="8">
        <v>1333</v>
      </c>
      <c r="E7" s="8" t="s">
        <v>9</v>
      </c>
    </row>
    <row r="8" spans="3:5" ht="41" customHeight="1" x14ac:dyDescent="0.2">
      <c r="C8" s="5" t="s">
        <v>10</v>
      </c>
      <c r="D8" s="9">
        <v>2664</v>
      </c>
      <c r="E8" s="9" t="s">
        <v>11</v>
      </c>
    </row>
    <row r="9" spans="3:5" ht="31" customHeight="1" x14ac:dyDescent="0.2">
      <c r="C9" s="7" t="s">
        <v>12</v>
      </c>
      <c r="D9" s="8">
        <v>4000</v>
      </c>
      <c r="E9" s="8" t="s">
        <v>13</v>
      </c>
    </row>
    <row r="10" spans="3:5" ht="31" customHeight="1" x14ac:dyDescent="0.2">
      <c r="C10" s="5" t="s">
        <v>14</v>
      </c>
      <c r="D10" s="9">
        <v>6666</v>
      </c>
      <c r="E10" s="9" t="s">
        <v>15</v>
      </c>
    </row>
    <row r="11" spans="3:5" ht="32" customHeight="1" x14ac:dyDescent="0.2">
      <c r="C11" s="7" t="s">
        <v>16</v>
      </c>
      <c r="D11" s="8">
        <v>13333</v>
      </c>
      <c r="E11" s="8" t="s">
        <v>17</v>
      </c>
    </row>
    <row r="12" spans="3:5" ht="29" customHeight="1" x14ac:dyDescent="0.2">
      <c r="C12" s="5" t="s">
        <v>18</v>
      </c>
      <c r="D12" s="9">
        <v>20000</v>
      </c>
      <c r="E12" s="9" t="s">
        <v>19</v>
      </c>
    </row>
    <row r="13" spans="3:5" ht="15.75" customHeight="1" x14ac:dyDescent="0.2"/>
    <row r="14" spans="3:5" ht="15.75" customHeight="1" x14ac:dyDescent="0.2"/>
    <row r="15" spans="3:5" ht="15.75" customHeight="1" x14ac:dyDescent="0.2"/>
    <row r="16" spans="3: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C3:C4"/>
  </mergeCells>
  <pageMargins left="0.7" right="0.7" top="0.75" bottom="0.75" header="0" footer="0"/>
  <pageSetup scale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workbookViewId="0"/>
  </sheetViews>
  <sheetFormatPr baseColWidth="10" defaultColWidth="10.140625" defaultRowHeight="15" customHeight="1" x14ac:dyDescent="0.2"/>
  <cols>
    <col min="1" max="1" width="8.7109375" customWidth="1"/>
    <col min="2" max="2" width="43.140625" customWidth="1"/>
    <col min="3" max="3" width="11.85546875" customWidth="1"/>
    <col min="4" max="4" width="8.7109375" customWidth="1"/>
    <col min="5" max="5" width="31.140625" customWidth="1"/>
    <col min="6" max="6" width="15.7109375" customWidth="1"/>
    <col min="7" max="26" width="8.7109375" customWidth="1"/>
  </cols>
  <sheetData>
    <row r="1" spans="1:6" ht="15.75" customHeight="1" x14ac:dyDescent="0.2">
      <c r="A1" s="10" t="s">
        <v>20</v>
      </c>
    </row>
    <row r="2" spans="1:6" ht="15.75" customHeight="1" x14ac:dyDescent="0.2">
      <c r="A2" s="11"/>
      <c r="B2" s="12" t="s">
        <v>21</v>
      </c>
    </row>
    <row r="3" spans="1:6" ht="15.75" customHeight="1" x14ac:dyDescent="0.2">
      <c r="A3" s="13"/>
      <c r="B3" s="12" t="s">
        <v>22</v>
      </c>
    </row>
    <row r="4" spans="1:6" ht="15.75" customHeight="1" x14ac:dyDescent="0.2"/>
    <row r="5" spans="1:6" ht="15.75" customHeight="1" x14ac:dyDescent="0.2">
      <c r="B5" s="13" t="s">
        <v>23</v>
      </c>
      <c r="C5" s="14">
        <f>F10</f>
        <v>20000</v>
      </c>
    </row>
    <row r="6" spans="1:6" ht="15.75" customHeight="1" x14ac:dyDescent="0.2">
      <c r="B6" s="13" t="s">
        <v>24</v>
      </c>
      <c r="C6" s="14">
        <f>F10*C17</f>
        <v>180000</v>
      </c>
    </row>
    <row r="7" spans="1:6" ht="15.75" customHeight="1" x14ac:dyDescent="0.2">
      <c r="B7" s="13" t="s">
        <v>25</v>
      </c>
      <c r="C7" s="14">
        <f>PRODUCT(C18,F10)</f>
        <v>1400000</v>
      </c>
    </row>
    <row r="8" spans="1:6" ht="15.75" customHeight="1" x14ac:dyDescent="0.2">
      <c r="B8" s="13" t="s">
        <v>26</v>
      </c>
      <c r="C8" s="14">
        <f>C7/F15</f>
        <v>4666.666666666667</v>
      </c>
    </row>
    <row r="9" spans="1:6" ht="15.75" customHeight="1" x14ac:dyDescent="0.2">
      <c r="E9" s="15" t="s">
        <v>27</v>
      </c>
      <c r="F9" s="15" t="s">
        <v>28</v>
      </c>
    </row>
    <row r="10" spans="1:6" ht="15.75" customHeight="1" x14ac:dyDescent="0.2">
      <c r="B10" s="16" t="s">
        <v>29</v>
      </c>
      <c r="C10" s="16" t="s">
        <v>30</v>
      </c>
      <c r="D10" s="17"/>
      <c r="E10" s="17" t="s">
        <v>31</v>
      </c>
      <c r="F10" s="11">
        <v>20000</v>
      </c>
    </row>
    <row r="11" spans="1:6" ht="15.75" customHeight="1" x14ac:dyDescent="0.2">
      <c r="A11" s="17"/>
      <c r="B11" s="17" t="s">
        <v>32</v>
      </c>
      <c r="C11" s="18">
        <v>7</v>
      </c>
      <c r="D11" s="17"/>
      <c r="E11" s="17"/>
    </row>
    <row r="12" spans="1:6" ht="15.75" customHeight="1" x14ac:dyDescent="0.2">
      <c r="A12" s="17"/>
      <c r="B12" s="17" t="s">
        <v>33</v>
      </c>
      <c r="C12" s="18">
        <v>13</v>
      </c>
      <c r="D12" s="17"/>
      <c r="E12" s="17"/>
    </row>
    <row r="13" spans="1:6" ht="15.75" customHeight="1" x14ac:dyDescent="0.2">
      <c r="A13" s="17"/>
      <c r="B13" s="17" t="s">
        <v>34</v>
      </c>
      <c r="C13" s="18">
        <v>1</v>
      </c>
    </row>
    <row r="14" spans="1:6" ht="15.75" customHeight="1" x14ac:dyDescent="0.2">
      <c r="A14" s="17"/>
      <c r="B14" s="17" t="s">
        <v>35</v>
      </c>
      <c r="C14" s="18">
        <v>8</v>
      </c>
      <c r="E14" s="16"/>
      <c r="F14" s="16" t="s">
        <v>36</v>
      </c>
    </row>
    <row r="15" spans="1:6" ht="15.75" customHeight="1" x14ac:dyDescent="0.2">
      <c r="A15" s="17"/>
      <c r="B15" s="17" t="s">
        <v>37</v>
      </c>
      <c r="C15" s="18">
        <v>3</v>
      </c>
      <c r="E15" s="17" t="s">
        <v>38</v>
      </c>
      <c r="F15" s="19">
        <v>300</v>
      </c>
    </row>
    <row r="16" spans="1:6" ht="15.75" customHeight="1" x14ac:dyDescent="0.2">
      <c r="A16" s="17"/>
      <c r="B16" s="17" t="s">
        <v>39</v>
      </c>
      <c r="C16" s="18">
        <v>4</v>
      </c>
    </row>
    <row r="17" spans="2:6" ht="15.75" customHeight="1" x14ac:dyDescent="0.2">
      <c r="B17" s="12" t="s">
        <v>40</v>
      </c>
      <c r="C17" s="20">
        <f>1 + F19 + 1 + F20 + 1 + F21</f>
        <v>9</v>
      </c>
      <c r="E17" s="12"/>
      <c r="F17" s="12"/>
    </row>
    <row r="18" spans="2:6" ht="15.75" customHeight="1" x14ac:dyDescent="0.2">
      <c r="B18" s="12" t="s">
        <v>41</v>
      </c>
      <c r="C18" s="21">
        <f>C11+C12*F19+C13+C14*F20+C15+C16*F21</f>
        <v>70</v>
      </c>
      <c r="E18" s="16" t="s">
        <v>42</v>
      </c>
      <c r="F18" s="16" t="s">
        <v>43</v>
      </c>
    </row>
    <row r="19" spans="2:6" ht="15.75" customHeight="1" x14ac:dyDescent="0.2">
      <c r="B19" s="12"/>
      <c r="C19" s="12"/>
      <c r="E19" s="17" t="s">
        <v>44</v>
      </c>
      <c r="F19" s="19">
        <v>3</v>
      </c>
    </row>
    <row r="20" spans="2:6" ht="15.75" customHeight="1" x14ac:dyDescent="0.2">
      <c r="E20" s="17" t="s">
        <v>45</v>
      </c>
      <c r="F20" s="19">
        <v>2</v>
      </c>
    </row>
    <row r="21" spans="2:6" ht="15.75" customHeight="1" x14ac:dyDescent="0.2">
      <c r="E21" s="17" t="s">
        <v>46</v>
      </c>
      <c r="F21" s="19">
        <v>1</v>
      </c>
    </row>
    <row r="22" spans="2:6" ht="15.75" customHeight="1" x14ac:dyDescent="0.2"/>
    <row r="23" spans="2:6" ht="15.75" customHeight="1" x14ac:dyDescent="0.2"/>
    <row r="24" spans="2:6" ht="15.75" customHeight="1" x14ac:dyDescent="0.2"/>
    <row r="25" spans="2:6" ht="15.75" customHeight="1" x14ac:dyDescent="0.2"/>
    <row r="26" spans="2:6" ht="15.75" customHeight="1" x14ac:dyDescent="0.2"/>
    <row r="27" spans="2:6" ht="15.75" customHeight="1" x14ac:dyDescent="0.2"/>
    <row r="28" spans="2:6" ht="15.75" customHeight="1" x14ac:dyDescent="0.2"/>
    <row r="29" spans="2:6" ht="15.75" customHeight="1" x14ac:dyDescent="0.2"/>
    <row r="30" spans="2:6" ht="15.75" customHeight="1" x14ac:dyDescent="0.2"/>
    <row r="31" spans="2:6" ht="15.75" customHeight="1" x14ac:dyDescent="0.2"/>
    <row r="32" spans="2: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PAS sizing</vt:lpstr>
      <vt:lpstr>Mist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Rajkumar KK</cp:lastModifiedBy>
  <dcterms:modified xsi:type="dcterms:W3CDTF">2025-11-28T08:45:37Z</dcterms:modified>
</cp:coreProperties>
</file>