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 sizing" sheetId="1" r:id="rId4"/>
    <sheet state="visible" name="Mist" sheetId="2" r:id="rId5"/>
  </sheets>
  <definedNames/>
  <calcPr/>
</workbook>
</file>

<file path=xl/sharedStrings.xml><?xml version="1.0" encoding="utf-8"?>
<sst xmlns="http://schemas.openxmlformats.org/spreadsheetml/2006/main" count="48" uniqueCount="47">
  <si>
    <t>Appliance</t>
  </si>
  <si>
    <t>Maximum</t>
  </si>
  <si>
    <t>Indicators/Sec</t>
  </si>
  <si>
    <t>Object count</t>
  </si>
  <si>
    <t>PAS 5K, vPAS 5k</t>
  </si>
  <si>
    <t>5K</t>
  </si>
  <si>
    <t>PAS 10K, vPAS 10k</t>
  </si>
  <si>
    <t>10K</t>
  </si>
  <si>
    <t>PAS 20K, vPAS 20k</t>
  </si>
  <si>
    <t>20K</t>
  </si>
  <si>
    <t>PAS 40K</t>
  </si>
  <si>
    <t>40K</t>
  </si>
  <si>
    <t xml:space="preserve">PAS 60K </t>
  </si>
  <si>
    <t>50K</t>
  </si>
  <si>
    <t>vPAS100k</t>
  </si>
  <si>
    <t>100K</t>
  </si>
  <si>
    <t>PAS 200K</t>
  </si>
  <si>
    <t>200K</t>
  </si>
  <si>
    <t>PAS 300K</t>
  </si>
  <si>
    <t>300K</t>
  </si>
  <si>
    <t>Legend</t>
  </si>
  <si>
    <t>Provide the device and polling interval in the - Yellow fields</t>
  </si>
  <si>
    <t>Calculated output for IPS and Object Counts for PAS sizing</t>
  </si>
  <si>
    <t>Total Devices</t>
  </si>
  <si>
    <t>Total Objects</t>
  </si>
  <si>
    <t>Total Indicators</t>
  </si>
  <si>
    <t>Total Indicators Per Second</t>
  </si>
  <si>
    <t>Device Types</t>
  </si>
  <si>
    <t>Device Count</t>
  </si>
  <si>
    <t>Estimated objects per Mist AP</t>
  </si>
  <si>
    <t>Indicators</t>
  </si>
  <si>
    <t>Wi-Fi AP</t>
  </si>
  <si>
    <t>AP Wi-Fi</t>
  </si>
  <si>
    <t>AP Radio</t>
  </si>
  <si>
    <t>CPU</t>
  </si>
  <si>
    <t>Interface</t>
  </si>
  <si>
    <t>Polling Interval (s)</t>
  </si>
  <si>
    <t>Memory</t>
  </si>
  <si>
    <t>Polling Interval for Mist devices</t>
  </si>
  <si>
    <t>Sensor</t>
  </si>
  <si>
    <t>Total no. of objects per AP</t>
  </si>
  <si>
    <t>Total no. of indicators per AP</t>
  </si>
  <si>
    <t>Mist Object Type</t>
  </si>
  <si>
    <t>Object Count</t>
  </si>
  <si>
    <t>Approx. AP Radios per AP</t>
  </si>
  <si>
    <t>Approx. Interfaces per AP</t>
  </si>
  <si>
    <t>Approx. Sensors per 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</si>
</sst>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rgb="FF000000"/>
      <name val="Arial"/>
      <scheme val="minor"/>
    </font>
    <font>
      <b/>
      <sz val="18.0"/>
      <color rgb="FFFFFFFF"/>
      <name val="Arial"/>
    </font>
    <font/>
    <font>
      <sz val="16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rgb="FF000000"/>
      <name val="Calibri"/>
    </font>
    <font>
      <b/>
      <sz val="12.0"/>
      <color rgb="FF242424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375A7"/>
        <bgColor rgb="FF4375A7"/>
      </patternFill>
    </fill>
    <fill>
      <patternFill patternType="solid">
        <fgColor rgb="FFCFD6E1"/>
        <bgColor rgb="FFCFD6E1"/>
      </patternFill>
    </fill>
    <fill>
      <patternFill patternType="solid">
        <fgColor rgb="FFE9ECF1"/>
        <bgColor rgb="FFE9ECF1"/>
      </patternFill>
    </fill>
    <fill>
      <patternFill patternType="solid">
        <fgColor rgb="FFFFFF00"/>
        <bgColor rgb="FFFFFF00"/>
      </patternFill>
    </fill>
    <fill>
      <patternFill patternType="solid">
        <fgColor rgb="FF33FF99"/>
        <bgColor rgb="FF33FF99"/>
      </patternFill>
    </fill>
    <fill>
      <patternFill patternType="solid">
        <fgColor rgb="FFBFBFBF"/>
        <bgColor rgb="FFBFBFBF"/>
      </patternFill>
    </fill>
  </fills>
  <borders count="8">
    <border/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/>
    </border>
    <border>
      <left style="medium">
        <color rgb="FFFFFFFF"/>
      </left>
      <right style="medium">
        <color rgb="FFFFFFFF"/>
      </right>
      <bottom style="thick">
        <color rgb="FFFFFFFF"/>
      </bottom>
    </border>
    <border>
      <left style="medium">
        <color rgb="FFFFFFFF"/>
      </left>
      <right style="medium">
        <color rgb="FFFFFFFF"/>
      </right>
      <top/>
      <bottom style="thick">
        <color rgb="FFFFFFFF"/>
      </bottom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ill="1" applyFont="1">
      <alignment horizontal="left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6" fillId="4" fontId="3" numFmtId="0" xfId="0" applyAlignment="1" applyBorder="1" applyFill="1" applyFont="1">
      <alignment horizontal="left" shrinkToFit="0" vertical="center" wrapText="1"/>
    </xf>
    <xf borderId="6" fillId="4" fontId="3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left" shrinkToFit="0" vertical="center" wrapText="1"/>
    </xf>
    <xf borderId="6" fillId="3" fontId="3" numFmtId="3" xfId="0" applyAlignment="1" applyBorder="1" applyFont="1" applyNumberFormat="1">
      <alignment horizontal="center" readingOrder="0" shrinkToFit="0" vertical="center" wrapText="1"/>
    </xf>
    <xf borderId="6" fillId="3" fontId="3" numFmtId="3" xfId="0" applyAlignment="1" applyBorder="1" applyFont="1" applyNumberFormat="1">
      <alignment horizontal="center" shrinkToFit="0" vertical="center" wrapText="1"/>
    </xf>
    <xf borderId="6" fillId="4" fontId="3" numFmtId="3" xfId="0" applyAlignment="1" applyBorder="1" applyFont="1" applyNumberFormat="1">
      <alignment horizontal="center" readingOrder="0" shrinkToFit="0" vertical="center" wrapText="1"/>
    </xf>
    <xf borderId="6" fillId="4" fontId="3" numFmtId="3" xfId="0" applyAlignment="1" applyBorder="1" applyFont="1" applyNumberFormat="1">
      <alignment horizontal="center" shrinkToFit="0" vertical="center" wrapText="1"/>
    </xf>
    <xf borderId="0" fillId="0" fontId="4" numFmtId="0" xfId="0" applyFont="1"/>
    <xf borderId="7" fillId="5" fontId="5" numFmtId="3" xfId="0" applyBorder="1" applyFill="1" applyFont="1" applyNumberFormat="1"/>
    <xf borderId="0" fillId="0" fontId="6" numFmtId="0" xfId="0" applyFont="1"/>
    <xf borderId="7" fillId="6" fontId="7" numFmtId="0" xfId="0" applyBorder="1" applyFill="1" applyFont="1"/>
    <xf borderId="7" fillId="6" fontId="6" numFmtId="3" xfId="0" applyBorder="1" applyFont="1" applyNumberFormat="1"/>
    <xf borderId="7" fillId="7" fontId="7" numFmtId="0" xfId="0" applyBorder="1" applyFill="1" applyFont="1"/>
    <xf borderId="7" fillId="7" fontId="6" numFmtId="0" xfId="0" applyBorder="1" applyFont="1"/>
    <xf borderId="0" fillId="0" fontId="8" numFmtId="0" xfId="0" applyFont="1"/>
    <xf borderId="0" fillId="0" fontId="8" numFmtId="0" xfId="0" applyAlignment="1" applyFont="1">
      <alignment readingOrder="0"/>
    </xf>
    <xf borderId="0" fillId="0" fontId="8" numFmtId="3" xfId="0" applyFont="1" applyNumberFormat="1"/>
    <xf borderId="7" fillId="5" fontId="5" numFmtId="0" xfId="0" applyBorder="1" applyFont="1"/>
    <xf borderId="0" fillId="0" fontId="6" numFmtId="3" xfId="0" applyFont="1" applyNumberFormat="1"/>
    <xf borderId="0" fillId="0" fontId="4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3.0"/>
    <col customWidth="1" min="3" max="3" width="50.3"/>
    <col customWidth="1" min="4" max="4" width="52.4"/>
    <col customWidth="1" min="5" max="5" width="43.4"/>
    <col customWidth="1" min="6" max="6" width="13.0"/>
    <col customWidth="1" min="7" max="26" width="8.7"/>
  </cols>
  <sheetData>
    <row r="1" ht="15.75" customHeight="1"/>
    <row r="2" ht="15.75" customHeight="1"/>
    <row r="3" ht="37.5" customHeight="1">
      <c r="C3" s="1" t="s">
        <v>0</v>
      </c>
      <c r="D3" s="2" t="s">
        <v>1</v>
      </c>
      <c r="E3" s="2" t="s">
        <v>1</v>
      </c>
    </row>
    <row r="4" ht="30.0" customHeight="1">
      <c r="C4" s="3"/>
      <c r="D4" s="4" t="s">
        <v>2</v>
      </c>
      <c r="E4" s="4" t="s">
        <v>3</v>
      </c>
    </row>
    <row r="5" ht="39.75" customHeight="1">
      <c r="C5" s="5" t="s">
        <v>4</v>
      </c>
      <c r="D5" s="6">
        <v>130.0</v>
      </c>
      <c r="E5" s="7" t="s">
        <v>5</v>
      </c>
    </row>
    <row r="6" ht="36.75" customHeight="1">
      <c r="C6" s="8" t="s">
        <v>6</v>
      </c>
      <c r="D6" s="9">
        <v>259.0</v>
      </c>
      <c r="E6" s="10" t="s">
        <v>7</v>
      </c>
    </row>
    <row r="7" ht="45.0" customHeight="1">
      <c r="C7" s="11" t="s">
        <v>8</v>
      </c>
      <c r="D7" s="12">
        <v>519.0</v>
      </c>
      <c r="E7" s="13" t="s">
        <v>9</v>
      </c>
    </row>
    <row r="8" ht="15.75" customHeight="1">
      <c r="C8" s="8" t="s">
        <v>10</v>
      </c>
      <c r="D8" s="14">
        <v>1037.0</v>
      </c>
      <c r="E8" s="15" t="s">
        <v>11</v>
      </c>
    </row>
    <row r="9" ht="15.75" customHeight="1">
      <c r="C9" s="11" t="s">
        <v>12</v>
      </c>
      <c r="D9" s="12">
        <v>1556.0</v>
      </c>
      <c r="E9" s="13" t="s">
        <v>13</v>
      </c>
    </row>
    <row r="10" ht="15.75" customHeight="1">
      <c r="C10" s="8" t="s">
        <v>14</v>
      </c>
      <c r="D10" s="14">
        <v>2593.0</v>
      </c>
      <c r="E10" s="15" t="s">
        <v>15</v>
      </c>
    </row>
    <row r="11" ht="15.75" customHeight="1">
      <c r="C11" s="11" t="s">
        <v>16</v>
      </c>
      <c r="D11" s="12">
        <v>5185.0</v>
      </c>
      <c r="E11" s="13" t="s">
        <v>17</v>
      </c>
    </row>
    <row r="12" ht="15.75" customHeight="1">
      <c r="C12" s="8" t="s">
        <v>18</v>
      </c>
      <c r="D12" s="14">
        <v>7778.0</v>
      </c>
      <c r="E12" s="15" t="s">
        <v>19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3:C4"/>
  </mergeCells>
  <printOptions/>
  <pageMargins bottom="0.75" footer="0.0" header="0.0" left="0.7" right="0.7" top="0.75"/>
  <pageSetup scale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8.7"/>
    <col customWidth="1" min="2" max="2" width="43.1"/>
    <col customWidth="1" min="3" max="3" width="11.9"/>
    <col customWidth="1" min="4" max="4" width="8.7"/>
    <col customWidth="1" min="5" max="5" width="31.1"/>
    <col customWidth="1" min="6" max="6" width="15.7"/>
    <col customWidth="1" min="7" max="26" width="8.7"/>
  </cols>
  <sheetData>
    <row r="1" ht="15.75" customHeight="1">
      <c r="A1" s="16" t="s">
        <v>20</v>
      </c>
    </row>
    <row r="2" ht="15.75" customHeight="1">
      <c r="A2" s="17"/>
      <c r="B2" s="18" t="s">
        <v>21</v>
      </c>
    </row>
    <row r="3" ht="15.75" customHeight="1">
      <c r="A3" s="19"/>
      <c r="B3" s="18" t="s">
        <v>22</v>
      </c>
    </row>
    <row r="4" ht="15.75" customHeight="1"/>
    <row r="5" ht="15.75" customHeight="1">
      <c r="B5" s="19" t="s">
        <v>23</v>
      </c>
      <c r="C5" s="20">
        <f>F10</f>
        <v>20000</v>
      </c>
    </row>
    <row r="6" ht="15.75" customHeight="1">
      <c r="B6" s="19" t="s">
        <v>24</v>
      </c>
      <c r="C6" s="20">
        <f>F10*C17</f>
        <v>180000</v>
      </c>
    </row>
    <row r="7" ht="15.75" customHeight="1">
      <c r="B7" s="19" t="s">
        <v>25</v>
      </c>
      <c r="C7" s="20">
        <f>PRODUCT(C18,F10)</f>
        <v>1400000</v>
      </c>
    </row>
    <row r="8" ht="15.75" customHeight="1">
      <c r="B8" s="19" t="s">
        <v>26</v>
      </c>
      <c r="C8" s="20">
        <f>C7/F15</f>
        <v>4666.666667</v>
      </c>
    </row>
    <row r="9" ht="15.75" customHeight="1">
      <c r="E9" s="21" t="s">
        <v>27</v>
      </c>
      <c r="F9" s="21" t="s">
        <v>28</v>
      </c>
    </row>
    <row r="10" ht="15.75" customHeight="1">
      <c r="B10" s="22" t="s">
        <v>29</v>
      </c>
      <c r="C10" s="22" t="s">
        <v>30</v>
      </c>
      <c r="D10" s="23"/>
      <c r="E10" s="23" t="s">
        <v>31</v>
      </c>
      <c r="F10" s="17">
        <v>20000.0</v>
      </c>
    </row>
    <row r="11" ht="15.75" customHeight="1">
      <c r="A11" s="23"/>
      <c r="B11" s="24" t="s">
        <v>32</v>
      </c>
      <c r="C11" s="25">
        <v>7.0</v>
      </c>
      <c r="D11" s="23"/>
      <c r="E11" s="23"/>
    </row>
    <row r="12" ht="15.75" customHeight="1">
      <c r="A12" s="23"/>
      <c r="B12" s="23" t="s">
        <v>33</v>
      </c>
      <c r="C12" s="25">
        <v>13.0</v>
      </c>
      <c r="D12" s="23"/>
      <c r="E12" s="23"/>
    </row>
    <row r="13" ht="15.75" customHeight="1">
      <c r="A13" s="23"/>
      <c r="B13" s="23" t="s">
        <v>34</v>
      </c>
      <c r="C13" s="25">
        <v>1.0</v>
      </c>
    </row>
    <row r="14" ht="15.75" customHeight="1">
      <c r="A14" s="23"/>
      <c r="B14" s="23" t="s">
        <v>35</v>
      </c>
      <c r="C14" s="25">
        <v>8.0</v>
      </c>
      <c r="E14" s="22"/>
      <c r="F14" s="22" t="s">
        <v>36</v>
      </c>
    </row>
    <row r="15" ht="15.75" customHeight="1">
      <c r="A15" s="23"/>
      <c r="B15" s="23" t="s">
        <v>37</v>
      </c>
      <c r="C15" s="25">
        <v>3.0</v>
      </c>
      <c r="E15" s="23" t="s">
        <v>38</v>
      </c>
      <c r="F15" s="26">
        <v>300.0</v>
      </c>
    </row>
    <row r="16" ht="15.75" customHeight="1">
      <c r="A16" s="23"/>
      <c r="B16" s="23" t="s">
        <v>39</v>
      </c>
      <c r="C16" s="25">
        <v>4.0</v>
      </c>
    </row>
    <row r="17" ht="15.75" customHeight="1">
      <c r="B17" s="18" t="s">
        <v>40</v>
      </c>
      <c r="C17" s="27">
        <f>1 + F19 + 1 + F20 + 1 + F21</f>
        <v>9</v>
      </c>
      <c r="E17" s="18"/>
      <c r="F17" s="18"/>
    </row>
    <row r="18" ht="15.75" customHeight="1">
      <c r="B18" s="18" t="s">
        <v>41</v>
      </c>
      <c r="C18" s="28">
        <f>C11+C12*F19+C13+C14*F20+C15+C16*F21</f>
        <v>70</v>
      </c>
      <c r="E18" s="22" t="s">
        <v>42</v>
      </c>
      <c r="F18" s="22" t="s">
        <v>43</v>
      </c>
    </row>
    <row r="19" ht="15.75" customHeight="1">
      <c r="B19" s="18"/>
      <c r="C19" s="18"/>
      <c r="E19" s="23" t="s">
        <v>44</v>
      </c>
      <c r="F19" s="26">
        <v>3.0</v>
      </c>
    </row>
    <row r="20" ht="15.75" customHeight="1">
      <c r="E20" s="23" t="s">
        <v>45</v>
      </c>
      <c r="F20" s="26">
        <v>2.0</v>
      </c>
    </row>
    <row r="21" ht="15.75" customHeight="1">
      <c r="E21" s="23" t="s">
        <v>46</v>
      </c>
      <c r="F21" s="26">
        <v>1.0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