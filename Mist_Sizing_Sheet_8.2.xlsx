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5693197B-D4D9-41B9-B58C-1832328343D8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PAS sizing" sheetId="1" r:id="rId1"/>
    <sheet name="Mist 8.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3" l="1"/>
  <c r="C87" i="3"/>
  <c r="C81" i="3"/>
  <c r="C80" i="3"/>
  <c r="C18" i="3"/>
  <c r="C17" i="3"/>
  <c r="C56" i="3"/>
  <c r="C55" i="3"/>
  <c r="C5" i="3"/>
  <c r="C6" i="3" l="1"/>
  <c r="C7" i="3"/>
  <c r="C8" i="3" s="1"/>
</calcChain>
</file>

<file path=xl/sharedStrings.xml><?xml version="1.0" encoding="utf-8"?>
<sst xmlns="http://schemas.openxmlformats.org/spreadsheetml/2006/main" count="190" uniqueCount="98">
  <si>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</si>
  <si>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</si>
  <si>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</si>
  <si>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</si>
  <si>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</si>
  <si>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</si>
  <si>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</si>
  <si>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</si>
  <si>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</si>
  <si>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</si>
  <si>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</si>
  <si>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</si>
  <si>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</si>
  <si>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</si>
  <si>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</si>
  <si>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</si>
  <si>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</si>
  <si>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</si>
  <si>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</si>
  <si>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</si>
  <si>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Legend</t>
  </si>
  <si>
    <t>Provide the device and polling interval in the - Yellow fields</t>
  </si>
  <si>
    <t>Calculated output for IPS and Object Counts for PAS sizing</t>
  </si>
  <si>
    <t>Total Devices</t>
  </si>
  <si>
    <t>Total Objects</t>
  </si>
  <si>
    <t xml:space="preserve">Total Indicators </t>
  </si>
  <si>
    <t>Total Indicators Per Second</t>
  </si>
  <si>
    <t>Device Types</t>
  </si>
  <si>
    <t>Device Count</t>
  </si>
  <si>
    <t>Object Types per Mist AP</t>
  </si>
  <si>
    <t>Indicators</t>
  </si>
  <si>
    <t>Wi-Fi AP</t>
  </si>
  <si>
    <t>AP Wi-Fi</t>
  </si>
  <si>
    <t>Gateway</t>
  </si>
  <si>
    <t>AP Radio</t>
  </si>
  <si>
    <t>Switch</t>
  </si>
  <si>
    <t>CPU</t>
  </si>
  <si>
    <t>Interface</t>
  </si>
  <si>
    <t>Site Count</t>
  </si>
  <si>
    <t>Memory</t>
  </si>
  <si>
    <t>Number of Mist Sites</t>
  </si>
  <si>
    <t>Sensor</t>
  </si>
  <si>
    <t>Total no. of objects per AP</t>
  </si>
  <si>
    <t>Polling Interval (s)</t>
  </si>
  <si>
    <t>Total no. of indicators per AP</t>
  </si>
  <si>
    <t>Polling Interval for Mist devices</t>
  </si>
  <si>
    <t>Object Types per Mist Gateway</t>
  </si>
  <si>
    <t>Mist Object Type per AP</t>
  </si>
  <si>
    <t>Object Count</t>
  </si>
  <si>
    <t>Interface Extension</t>
  </si>
  <si>
    <t>PFE Slot (Juniper Ex)</t>
  </si>
  <si>
    <t>BGP Peer</t>
  </si>
  <si>
    <t>Interrupt (Juniper Ex)</t>
  </si>
  <si>
    <t>SPU Node</t>
  </si>
  <si>
    <t>Mist Object Type per Gateway</t>
  </si>
  <si>
    <t>Operational</t>
  </si>
  <si>
    <t>SNMP Availability</t>
  </si>
  <si>
    <t>Subscribers</t>
  </si>
  <si>
    <t>System</t>
  </si>
  <si>
    <t>IPSec Security Tunnel</t>
  </si>
  <si>
    <t>System Host</t>
  </si>
  <si>
    <t>QoS Queue /QoS Queue (Juniper Ex)</t>
  </si>
  <si>
    <t>TCP Group</t>
  </si>
  <si>
    <t>CoS/ CoS (Juniper Ex)</t>
  </si>
  <si>
    <t>UDP</t>
  </si>
  <si>
    <t>FRU/ FRU(Juniper Ex)</t>
  </si>
  <si>
    <t>SPU/ SPU(Juniper Ex)</t>
  </si>
  <si>
    <t>FWDD Statistics</t>
  </si>
  <si>
    <t>QoS Queue /QoS Queue (Juniper Ex</t>
  </si>
  <si>
    <t>Firewall/ Firewall (Juniper Ex)</t>
  </si>
  <si>
    <t>ICMP</t>
  </si>
  <si>
    <t>IP Group</t>
  </si>
  <si>
    <t>Ping Data</t>
  </si>
  <si>
    <t>Line Card CPU (Juniper EX)</t>
  </si>
  <si>
    <t>Zone/Zone (Juniper EX)</t>
  </si>
  <si>
    <t>Disk</t>
  </si>
  <si>
    <t>Ping Test</t>
  </si>
  <si>
    <t>Prefix Counters</t>
  </si>
  <si>
    <t>Buffer Pool Utilization</t>
  </si>
  <si>
    <t>RPM Statistics</t>
  </si>
  <si>
    <t>Security</t>
  </si>
  <si>
    <t>VPN Stats</t>
  </si>
  <si>
    <t>Total no. of objects per Gateway</t>
  </si>
  <si>
    <t>Total no. of indicators per Gateway</t>
  </si>
  <si>
    <t>Object Types per Mist Switch</t>
  </si>
  <si>
    <t>Mist Object Type per Switch</t>
  </si>
  <si>
    <t>FRU/ FRU (Juniper Ex)</t>
  </si>
  <si>
    <t>Interrupt (Juniper EX)</t>
  </si>
  <si>
    <t>Total no. of objects per Switch</t>
  </si>
  <si>
    <t>Total no. of indicators per Switch</t>
  </si>
  <si>
    <t>Object Types per Mist Site</t>
  </si>
  <si>
    <t>WAN SLE</t>
  </si>
  <si>
    <t>Wi-Fi SLE</t>
  </si>
  <si>
    <t>Wired SLE</t>
  </si>
  <si>
    <t>Total no. of objects per Site</t>
  </si>
  <si>
    <t>Mist Object Type per Site</t>
  </si>
  <si>
    <t>Total no. of indicators per Site</t>
  </si>
  <si>
    <t>NOTE: Only those object types with variable counts are marked in yellow and require user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</si>
</sst>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Arial"/>
      <scheme val="minor"/>
    </font>
    <font>
      <b/>
      <sz val="18"/>
      <color rgb="FFFFFFFF"/>
      <name val="Arial"/>
    </font>
    <font>
      <sz val="12"/>
      <name val="Arial"/>
    </font>
    <font>
      <sz val="16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12"/>
      <color rgb="FF000000"/>
      <name val="Calibri"/>
    </font>
    <font>
      <b/>
      <sz val="12"/>
      <color rgb="FF242424"/>
      <name val="Calibri"/>
    </font>
    <font>
      <sz val="12"/>
      <color rgb="FF000000"/>
      <name val="Calibri"/>
    </font>
    <font>
      <sz val="12"/>
      <color rgb="FF172B4D"/>
      <name val="Calibri"/>
    </font>
    <font>
      <sz val="14"/>
      <color rgb="FF172B4D"/>
      <name val="&quot;Helvetica Neue&quot;"/>
    </font>
    <font>
      <sz val="12"/>
      <color rgb="FF24242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375A7"/>
        <bgColor rgb="FF4375A7"/>
      </patternFill>
    </fill>
    <fill>
      <patternFill patternType="solid">
        <fgColor rgb="FFCFD6E1"/>
        <bgColor rgb="FFCFD6E1"/>
      </patternFill>
    </fill>
    <fill>
      <patternFill patternType="solid">
        <fgColor rgb="FFE9ECF1"/>
        <bgColor rgb="FFE9ECF1"/>
      </patternFill>
    </fill>
    <fill>
      <patternFill patternType="solid">
        <fgColor rgb="FFFFFF00"/>
        <bgColor rgb="FFFFFF00"/>
      </patternFill>
    </fill>
    <fill>
      <patternFill patternType="solid">
        <fgColor rgb="FF33FF99"/>
        <bgColor rgb="FF33FF99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6" borderId="5" xfId="0" applyFont="1" applyFill="1" applyBorder="1"/>
    <xf numFmtId="0" fontId="8" fillId="0" borderId="0" xfId="0" applyFont="1"/>
    <xf numFmtId="0" fontId="5" fillId="0" borderId="0" xfId="0" applyFont="1"/>
    <xf numFmtId="0" fontId="5" fillId="5" borderId="0" xfId="0" applyFont="1" applyFill="1"/>
    <xf numFmtId="0" fontId="7" fillId="6" borderId="0" xfId="0" applyFont="1" applyFill="1"/>
    <xf numFmtId="3" fontId="6" fillId="6" borderId="0" xfId="0" applyNumberFormat="1" applyFont="1" applyFill="1" applyAlignment="1">
      <alignment horizontal="right"/>
    </xf>
    <xf numFmtId="0" fontId="7" fillId="7" borderId="0" xfId="0" applyFont="1" applyFill="1"/>
    <xf numFmtId="0" fontId="6" fillId="7" borderId="0" xfId="0" applyFont="1" applyFill="1"/>
    <xf numFmtId="3" fontId="5" fillId="5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0" fontId="5" fillId="8" borderId="0" xfId="0" applyFont="1" applyFill="1" applyAlignment="1">
      <alignment horizontal="right"/>
    </xf>
    <xf numFmtId="0" fontId="5" fillId="8" borderId="0" xfId="0" applyFont="1" applyFill="1"/>
    <xf numFmtId="0" fontId="0" fillId="8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000"/>
  <sheetViews>
    <sheetView workbookViewId="0"/>
  </sheetViews>
  <sheetFormatPr defaultColWidth="10.109375" defaultRowHeight="15" customHeight="1"/>
  <cols>
    <col min="1" max="2" width="13" customWidth="1"/>
    <col min="3" max="3" width="50.33203125" customWidth="1"/>
    <col min="4" max="4" width="52.44140625" customWidth="1"/>
    <col min="5" max="5" width="43.44140625" customWidth="1"/>
    <col min="6" max="6" width="13" customWidth="1"/>
  </cols>
  <sheetData>
    <row r="1" spans="3:5" ht="15.75" customHeight="1"/>
    <row r="2" spans="3:5" ht="15.75" customHeight="1"/>
    <row r="3" spans="3:5" ht="37.5" customHeight="1">
      <c r="C3" s="32" t="s">
        <v>0</v>
      </c>
      <c r="D3" s="1" t="s">
        <v>1</v>
      </c>
      <c r="E3" s="1" t="s">
        <v>1</v>
      </c>
    </row>
    <row r="4" spans="3:5" ht="30" customHeight="1">
      <c r="C4" s="33"/>
      <c r="D4" s="2" t="s">
        <v>2</v>
      </c>
      <c r="E4" s="2" t="s">
        <v>3</v>
      </c>
    </row>
    <row r="5" spans="3:5" ht="39.75" customHeight="1">
      <c r="C5" s="3" t="s">
        <v>4</v>
      </c>
      <c r="D5" s="4">
        <v>333</v>
      </c>
      <c r="E5" s="4" t="s">
        <v>5</v>
      </c>
    </row>
    <row r="6" spans="3:5" ht="36.75" customHeight="1">
      <c r="C6" s="5" t="s">
        <v>6</v>
      </c>
      <c r="D6" s="6">
        <v>666</v>
      </c>
      <c r="E6" s="6" t="s">
        <v>7</v>
      </c>
    </row>
    <row r="7" spans="3:5" ht="39" customHeight="1">
      <c r="C7" s="7" t="s">
        <v>8</v>
      </c>
      <c r="D7" s="8">
        <v>1333</v>
      </c>
      <c r="E7" s="8" t="s">
        <v>9</v>
      </c>
    </row>
    <row r="8" spans="3:5" ht="40.5" customHeight="1">
      <c r="C8" s="5" t="s">
        <v>10</v>
      </c>
      <c r="D8" s="9">
        <v>2664</v>
      </c>
      <c r="E8" s="9" t="s">
        <v>11</v>
      </c>
    </row>
    <row r="9" spans="3:5" ht="30.75" customHeight="1">
      <c r="C9" s="7" t="s">
        <v>12</v>
      </c>
      <c r="D9" s="8">
        <v>4000</v>
      </c>
      <c r="E9" s="8" t="s">
        <v>13</v>
      </c>
    </row>
    <row r="10" spans="3:5" ht="30.75" customHeight="1">
      <c r="C10" s="5" t="s">
        <v>14</v>
      </c>
      <c r="D10" s="9">
        <v>6666</v>
      </c>
      <c r="E10" s="9" t="s">
        <v>15</v>
      </c>
    </row>
    <row r="11" spans="3:5" ht="31.5" customHeight="1">
      <c r="C11" s="7" t="s">
        <v>16</v>
      </c>
      <c r="D11" s="8">
        <v>13333</v>
      </c>
      <c r="E11" s="8" t="s">
        <v>17</v>
      </c>
    </row>
    <row r="12" spans="3:5" ht="28.5" customHeight="1">
      <c r="C12" s="5" t="s">
        <v>18</v>
      </c>
      <c r="D12" s="9">
        <v>20000</v>
      </c>
      <c r="E12" s="9" t="s">
        <v>19</v>
      </c>
    </row>
    <row r="13" spans="3:5" ht="15.75" customHeight="1"/>
    <row r="14" spans="3:5" ht="15.75" customHeight="1"/>
    <row r="15" spans="3:5" ht="15.75" customHeight="1"/>
    <row r="16" spans="3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C4"/>
  </mergeCells>
  <pageMargins left="0.7" right="0.7" top="0.75" bottom="0.7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7"/>
  <sheetViews>
    <sheetView tabSelected="1" workbookViewId="0">
      <selection activeCell="H13" sqref="H13"/>
    </sheetView>
  </sheetViews>
  <sheetFormatPr defaultColWidth="10.109375" defaultRowHeight="15" customHeight="1"/>
  <cols>
    <col min="2" max="2" width="44.77734375" customWidth="1"/>
    <col min="3" max="3" width="16.6640625" customWidth="1"/>
    <col min="5" max="5" width="28.44140625" customWidth="1"/>
    <col min="6" max="6" width="16" customWidth="1"/>
  </cols>
  <sheetData>
    <row r="1" spans="1:6">
      <c r="A1" s="10" t="s">
        <v>20</v>
      </c>
      <c r="B1" s="14"/>
      <c r="C1" s="14"/>
      <c r="D1" s="14"/>
      <c r="E1" s="14"/>
      <c r="F1" s="14"/>
    </row>
    <row r="2" spans="1:6">
      <c r="A2" s="15"/>
      <c r="B2" s="11" t="s">
        <v>21</v>
      </c>
      <c r="C2" s="14"/>
      <c r="D2" s="14"/>
      <c r="E2" s="14"/>
      <c r="F2" s="14"/>
    </row>
    <row r="3" spans="1:6">
      <c r="A3" s="16"/>
      <c r="B3" s="11" t="s">
        <v>22</v>
      </c>
      <c r="C3" s="14"/>
      <c r="D3" s="14"/>
      <c r="E3" s="14"/>
      <c r="F3" s="14"/>
    </row>
    <row r="4" spans="1:6">
      <c r="A4" s="14"/>
      <c r="B4" s="14"/>
      <c r="C4" s="14"/>
      <c r="D4" s="14"/>
      <c r="E4" s="14"/>
      <c r="F4" s="14"/>
    </row>
    <row r="5" spans="1:6">
      <c r="A5" s="14"/>
      <c r="B5" s="16" t="s">
        <v>23</v>
      </c>
      <c r="C5" s="17">
        <f>SUM(F10:F12)</f>
        <v>31000</v>
      </c>
      <c r="D5" s="14"/>
      <c r="E5" s="14"/>
      <c r="F5" s="14"/>
    </row>
    <row r="6" spans="1:6" ht="15.75">
      <c r="A6" s="14"/>
      <c r="B6" s="16" t="s">
        <v>24</v>
      </c>
      <c r="C6" s="17">
        <f>F10*C17+F11*C55+F12*C80+F15*C87</f>
        <v>2389006</v>
      </c>
      <c r="D6" s="14"/>
      <c r="E6" s="14"/>
      <c r="F6" s="14"/>
    </row>
    <row r="7" spans="1:6" ht="15.75">
      <c r="A7" s="14"/>
      <c r="B7" s="16" t="s">
        <v>25</v>
      </c>
      <c r="C7" s="17">
        <f>F10*C18+F11*C56+F12*C81+F15*C88</f>
        <v>31612030</v>
      </c>
      <c r="D7" s="14"/>
      <c r="E7" s="14"/>
      <c r="F7" s="14"/>
    </row>
    <row r="8" spans="1:6" ht="15.75">
      <c r="A8" s="14"/>
      <c r="B8" s="12" t="s">
        <v>26</v>
      </c>
      <c r="C8" s="17">
        <f>C7/F18</f>
        <v>105373.43333333333</v>
      </c>
      <c r="D8" s="14"/>
      <c r="E8" s="14"/>
      <c r="F8" s="14"/>
    </row>
    <row r="9" spans="1:6">
      <c r="A9" s="14"/>
      <c r="B9" s="14"/>
      <c r="C9" s="14"/>
      <c r="D9" s="14"/>
      <c r="E9" s="18" t="s">
        <v>27</v>
      </c>
      <c r="F9" s="18" t="s">
        <v>28</v>
      </c>
    </row>
    <row r="10" spans="1:6">
      <c r="A10" s="14"/>
      <c r="B10" s="19" t="s">
        <v>29</v>
      </c>
      <c r="C10" s="19" t="s">
        <v>30</v>
      </c>
      <c r="D10" s="14"/>
      <c r="E10" s="13" t="s">
        <v>31</v>
      </c>
      <c r="F10" s="20">
        <v>20000</v>
      </c>
    </row>
    <row r="11" spans="1:6">
      <c r="A11" s="14"/>
      <c r="B11" s="13" t="s">
        <v>32</v>
      </c>
      <c r="C11" s="21">
        <v>7</v>
      </c>
      <c r="D11" s="14"/>
      <c r="E11" s="14" t="s">
        <v>33</v>
      </c>
      <c r="F11" s="20">
        <v>10000</v>
      </c>
    </row>
    <row r="12" spans="1:6">
      <c r="A12" s="14"/>
      <c r="B12" s="13" t="s">
        <v>34</v>
      </c>
      <c r="C12" s="21">
        <v>13</v>
      </c>
      <c r="D12" s="14"/>
      <c r="E12" s="14" t="s">
        <v>35</v>
      </c>
      <c r="F12" s="22">
        <v>1000</v>
      </c>
    </row>
    <row r="13" spans="1:6">
      <c r="A13" s="14"/>
      <c r="B13" s="13" t="s">
        <v>36</v>
      </c>
      <c r="C13" s="21">
        <v>1</v>
      </c>
      <c r="D13" s="14"/>
      <c r="E13" s="14"/>
      <c r="F13" s="14"/>
    </row>
    <row r="14" spans="1:6">
      <c r="A14" s="14"/>
      <c r="B14" s="13" t="s">
        <v>37</v>
      </c>
      <c r="C14" s="21">
        <v>8</v>
      </c>
      <c r="D14" s="14"/>
      <c r="E14" s="19" t="s">
        <v>38</v>
      </c>
      <c r="F14" s="19"/>
    </row>
    <row r="15" spans="1:6">
      <c r="A15" s="14"/>
      <c r="B15" s="13" t="s">
        <v>39</v>
      </c>
      <c r="C15" s="21">
        <v>3</v>
      </c>
      <c r="D15" s="14"/>
      <c r="E15" s="13" t="s">
        <v>40</v>
      </c>
      <c r="F15" s="22">
        <v>2</v>
      </c>
    </row>
    <row r="16" spans="1:6">
      <c r="A16" s="14"/>
      <c r="B16" s="13" t="s">
        <v>41</v>
      </c>
      <c r="C16" s="21">
        <v>4</v>
      </c>
      <c r="D16" s="14"/>
      <c r="E16" s="14"/>
      <c r="F16" s="14"/>
    </row>
    <row r="17" spans="1:6">
      <c r="A17" s="14"/>
      <c r="B17" s="11" t="s">
        <v>42</v>
      </c>
      <c r="C17" s="23">
        <f>SUM(F21:F26)</f>
        <v>9</v>
      </c>
      <c r="D17" s="14"/>
      <c r="E17" s="19"/>
      <c r="F17" s="19" t="s">
        <v>43</v>
      </c>
    </row>
    <row r="18" spans="1:6">
      <c r="A18" s="14"/>
      <c r="B18" s="11" t="s">
        <v>44</v>
      </c>
      <c r="C18" s="23">
        <f>C11*F22+C12*F23+C13*F24+C14*F21+C15*F25+C16*F26</f>
        <v>70</v>
      </c>
      <c r="D18" s="14"/>
      <c r="E18" s="13" t="s">
        <v>45</v>
      </c>
      <c r="F18" s="22">
        <v>300</v>
      </c>
    </row>
    <row r="19" spans="1:6">
      <c r="A19" s="14"/>
      <c r="B19" s="14"/>
      <c r="C19" s="14"/>
      <c r="D19" s="14"/>
      <c r="E19" s="14"/>
      <c r="F19" s="14"/>
    </row>
    <row r="20" spans="1:6" ht="15.75">
      <c r="A20" s="14"/>
      <c r="B20" s="19" t="s">
        <v>46</v>
      </c>
      <c r="C20" s="19" t="s">
        <v>30</v>
      </c>
      <c r="D20" s="14"/>
      <c r="E20" s="19" t="s">
        <v>47</v>
      </c>
      <c r="F20" s="19" t="s">
        <v>48</v>
      </c>
    </row>
    <row r="21" spans="1:6" ht="15.75">
      <c r="A21" s="14"/>
      <c r="B21" s="13" t="s">
        <v>36</v>
      </c>
      <c r="C21" s="21">
        <v>1</v>
      </c>
      <c r="D21" s="14"/>
      <c r="E21" s="28" t="s">
        <v>37</v>
      </c>
      <c r="F21" s="22">
        <v>2</v>
      </c>
    </row>
    <row r="22" spans="1:6" ht="15.75">
      <c r="A22" s="14"/>
      <c r="B22" s="13" t="s">
        <v>37</v>
      </c>
      <c r="C22" s="21">
        <v>24</v>
      </c>
      <c r="D22" s="14"/>
      <c r="E22" s="13" t="s">
        <v>32</v>
      </c>
      <c r="F22" s="21">
        <v>1</v>
      </c>
    </row>
    <row r="23" spans="1:6" ht="15.75">
      <c r="A23" s="14"/>
      <c r="B23" s="14" t="s">
        <v>49</v>
      </c>
      <c r="C23" s="21">
        <v>27</v>
      </c>
      <c r="D23" s="14"/>
      <c r="E23" s="13" t="s">
        <v>34</v>
      </c>
      <c r="F23" s="14">
        <v>3</v>
      </c>
    </row>
    <row r="24" spans="1:6" ht="15.75">
      <c r="A24" s="14"/>
      <c r="B24" s="13" t="s">
        <v>39</v>
      </c>
      <c r="C24" s="21">
        <v>1</v>
      </c>
      <c r="D24" s="14"/>
      <c r="E24" s="13" t="s">
        <v>36</v>
      </c>
      <c r="F24" s="14">
        <v>1</v>
      </c>
    </row>
    <row r="25" spans="1:6" ht="15.75">
      <c r="A25" s="14"/>
      <c r="B25" s="13" t="s">
        <v>50</v>
      </c>
      <c r="C25" s="21">
        <v>17</v>
      </c>
      <c r="D25" s="14"/>
      <c r="E25" s="13" t="s">
        <v>39</v>
      </c>
      <c r="F25" s="14">
        <v>1</v>
      </c>
    </row>
    <row r="26" spans="1:6" ht="15.75">
      <c r="A26" s="14"/>
      <c r="B26" s="13" t="s">
        <v>51</v>
      </c>
      <c r="C26" s="21">
        <v>8</v>
      </c>
      <c r="D26" s="14"/>
      <c r="E26" s="13" t="s">
        <v>41</v>
      </c>
      <c r="F26" s="14">
        <v>1</v>
      </c>
    </row>
    <row r="27" spans="1:6" ht="15.75">
      <c r="A27" s="14"/>
      <c r="B27" s="13" t="s">
        <v>52</v>
      </c>
      <c r="C27" s="24">
        <v>1</v>
      </c>
      <c r="D27" s="14"/>
      <c r="E27" s="13"/>
      <c r="F27" s="14"/>
    </row>
    <row r="28" spans="1:6" ht="15.75">
      <c r="A28" s="14"/>
      <c r="B28" s="13" t="s">
        <v>53</v>
      </c>
      <c r="C28" s="21">
        <v>2</v>
      </c>
      <c r="D28" s="14"/>
      <c r="E28" s="19" t="s">
        <v>54</v>
      </c>
      <c r="F28" s="19" t="s">
        <v>48</v>
      </c>
    </row>
    <row r="29" spans="1:6" ht="15.75">
      <c r="A29" s="14"/>
      <c r="B29" s="13" t="s">
        <v>55</v>
      </c>
      <c r="C29" s="21">
        <v>13</v>
      </c>
      <c r="D29" s="14"/>
      <c r="E29" s="13" t="s">
        <v>37</v>
      </c>
      <c r="F29" s="22">
        <v>39</v>
      </c>
    </row>
    <row r="30" spans="1:6" ht="15.75">
      <c r="A30" s="14"/>
      <c r="B30" s="13" t="s">
        <v>56</v>
      </c>
      <c r="C30" s="21">
        <v>1</v>
      </c>
      <c r="D30" s="14"/>
      <c r="E30" s="13" t="s">
        <v>49</v>
      </c>
      <c r="F30" s="22">
        <v>39</v>
      </c>
    </row>
    <row r="31" spans="1:6" ht="15.75">
      <c r="A31" s="14"/>
      <c r="B31" s="13" t="s">
        <v>57</v>
      </c>
      <c r="C31" s="21">
        <v>2</v>
      </c>
      <c r="D31" s="14"/>
      <c r="E31" s="13" t="s">
        <v>51</v>
      </c>
      <c r="F31" s="29">
        <v>5</v>
      </c>
    </row>
    <row r="32" spans="1:6" ht="15.75">
      <c r="A32" s="14"/>
      <c r="B32" s="13" t="s">
        <v>58</v>
      </c>
      <c r="C32" s="21">
        <v>1</v>
      </c>
      <c r="D32" s="14"/>
      <c r="E32" s="25" t="s">
        <v>59</v>
      </c>
      <c r="F32" s="30">
        <v>10</v>
      </c>
    </row>
    <row r="33" spans="1:10" ht="15.75">
      <c r="A33" s="14"/>
      <c r="B33" s="13" t="s">
        <v>60</v>
      </c>
      <c r="C33" s="21">
        <v>2</v>
      </c>
      <c r="D33" s="14"/>
      <c r="E33" s="25" t="s">
        <v>61</v>
      </c>
      <c r="F33" s="30">
        <v>24</v>
      </c>
    </row>
    <row r="34" spans="1:10" ht="15.75">
      <c r="A34" s="14"/>
      <c r="B34" s="13" t="s">
        <v>62</v>
      </c>
      <c r="C34" s="21">
        <v>5</v>
      </c>
      <c r="D34" s="14"/>
      <c r="E34" s="25" t="s">
        <v>63</v>
      </c>
      <c r="F34" s="30">
        <v>24</v>
      </c>
    </row>
    <row r="35" spans="1:10" ht="15.75">
      <c r="A35" s="14"/>
      <c r="B35" s="13" t="s">
        <v>64</v>
      </c>
      <c r="C35" s="21">
        <v>4</v>
      </c>
      <c r="D35" s="14"/>
      <c r="E35" s="13" t="s">
        <v>36</v>
      </c>
      <c r="F35" s="14">
        <v>2</v>
      </c>
    </row>
    <row r="36" spans="1:10" ht="15.75">
      <c r="A36" s="14"/>
      <c r="B36" s="13" t="s">
        <v>65</v>
      </c>
      <c r="C36" s="21">
        <v>7</v>
      </c>
      <c r="D36" s="14"/>
      <c r="E36" s="13" t="s">
        <v>39</v>
      </c>
      <c r="F36" s="14">
        <v>2</v>
      </c>
    </row>
    <row r="37" spans="1:10" ht="15.75">
      <c r="A37" s="14"/>
      <c r="B37" s="13" t="s">
        <v>66</v>
      </c>
      <c r="C37" s="21">
        <v>7</v>
      </c>
      <c r="D37" s="14"/>
      <c r="E37" s="13" t="s">
        <v>50</v>
      </c>
      <c r="F37" s="14">
        <v>2</v>
      </c>
    </row>
    <row r="38" spans="1:10" ht="15.75">
      <c r="A38" s="14"/>
      <c r="B38" s="13" t="s">
        <v>67</v>
      </c>
      <c r="C38" s="21">
        <v>4</v>
      </c>
      <c r="D38" s="14"/>
      <c r="E38" s="13" t="s">
        <v>52</v>
      </c>
      <c r="F38" s="21">
        <v>2</v>
      </c>
    </row>
    <row r="39" spans="1:10" ht="15.75">
      <c r="A39" s="14"/>
      <c r="B39" s="25" t="s">
        <v>63</v>
      </c>
      <c r="C39" s="21">
        <v>2</v>
      </c>
      <c r="D39" s="14"/>
      <c r="E39" s="13" t="s">
        <v>53</v>
      </c>
      <c r="F39" s="14">
        <v>2</v>
      </c>
    </row>
    <row r="40" spans="1:10" ht="15.75">
      <c r="A40" s="14"/>
      <c r="B40" s="25" t="s">
        <v>68</v>
      </c>
      <c r="C40" s="21">
        <v>8</v>
      </c>
      <c r="D40" s="14"/>
      <c r="E40" s="13" t="s">
        <v>55</v>
      </c>
      <c r="F40" s="14">
        <v>2</v>
      </c>
    </row>
    <row r="41" spans="1:10" ht="15.75">
      <c r="A41" s="14"/>
      <c r="B41" s="25" t="s">
        <v>69</v>
      </c>
      <c r="C41" s="21">
        <v>2</v>
      </c>
      <c r="D41" s="14"/>
      <c r="E41" s="13" t="s">
        <v>56</v>
      </c>
      <c r="F41" s="14">
        <v>2</v>
      </c>
    </row>
    <row r="42" spans="1:10" ht="15.75">
      <c r="A42" s="14"/>
      <c r="B42" s="25" t="s">
        <v>70</v>
      </c>
      <c r="C42" s="21">
        <v>14</v>
      </c>
      <c r="D42" s="14"/>
      <c r="E42" s="13" t="s">
        <v>57</v>
      </c>
      <c r="F42">
        <v>2</v>
      </c>
    </row>
    <row r="43" spans="1:10" ht="15.75">
      <c r="A43" s="14"/>
      <c r="B43" s="25" t="s">
        <v>71</v>
      </c>
      <c r="C43" s="21">
        <v>9</v>
      </c>
      <c r="D43" s="14"/>
      <c r="E43" s="13" t="s">
        <v>58</v>
      </c>
      <c r="F43">
        <v>2</v>
      </c>
    </row>
    <row r="44" spans="1:10" ht="15.75">
      <c r="A44" s="14"/>
      <c r="B44" s="25" t="s">
        <v>72</v>
      </c>
      <c r="C44" s="21">
        <v>7</v>
      </c>
      <c r="D44" s="14"/>
      <c r="E44" s="13" t="s">
        <v>60</v>
      </c>
      <c r="F44">
        <v>2</v>
      </c>
    </row>
    <row r="45" spans="1:10" ht="15.75">
      <c r="A45" s="14"/>
      <c r="B45" s="25" t="s">
        <v>73</v>
      </c>
      <c r="C45" s="21">
        <v>1</v>
      </c>
      <c r="D45" s="14"/>
      <c r="E45" s="13" t="s">
        <v>62</v>
      </c>
      <c r="F45">
        <v>2</v>
      </c>
    </row>
    <row r="46" spans="1:10" ht="15.75">
      <c r="A46" s="14"/>
      <c r="B46" s="25" t="s">
        <v>74</v>
      </c>
      <c r="C46" s="21">
        <v>30</v>
      </c>
      <c r="D46" s="14"/>
      <c r="E46" s="13" t="s">
        <v>64</v>
      </c>
      <c r="F46">
        <v>2</v>
      </c>
    </row>
    <row r="47" spans="1:10" ht="15.75">
      <c r="A47" s="14"/>
      <c r="B47" s="25" t="s">
        <v>75</v>
      </c>
      <c r="C47" s="21">
        <v>6</v>
      </c>
      <c r="D47" s="14"/>
      <c r="E47" s="13" t="s">
        <v>65</v>
      </c>
      <c r="F47">
        <v>2</v>
      </c>
    </row>
    <row r="48" spans="1:10" ht="15.75">
      <c r="A48" s="14"/>
      <c r="B48" s="25" t="s">
        <v>76</v>
      </c>
      <c r="C48" s="21">
        <v>16</v>
      </c>
      <c r="D48" s="14"/>
      <c r="E48" s="13" t="s">
        <v>66</v>
      </c>
      <c r="F48">
        <v>2</v>
      </c>
      <c r="I48" s="25"/>
      <c r="J48" s="21"/>
    </row>
    <row r="49" spans="1:10" ht="15.75">
      <c r="A49" s="14"/>
      <c r="B49" s="25" t="s">
        <v>77</v>
      </c>
      <c r="C49" s="21">
        <v>4</v>
      </c>
      <c r="D49" s="14"/>
      <c r="E49" s="13" t="s">
        <v>67</v>
      </c>
      <c r="F49">
        <v>2</v>
      </c>
      <c r="I49" s="25"/>
      <c r="J49" s="21"/>
    </row>
    <row r="50" spans="1:10" ht="15.75">
      <c r="A50" s="14"/>
      <c r="B50" s="25" t="s">
        <v>78</v>
      </c>
      <c r="C50" s="21">
        <v>1</v>
      </c>
      <c r="D50" s="14"/>
      <c r="E50" s="25" t="s">
        <v>69</v>
      </c>
      <c r="F50" s="14">
        <v>2</v>
      </c>
      <c r="I50" s="25"/>
      <c r="J50" s="21"/>
    </row>
    <row r="51" spans="1:10" ht="15.75">
      <c r="A51" s="14"/>
      <c r="B51" s="25" t="s">
        <v>79</v>
      </c>
      <c r="C51" s="21">
        <v>24</v>
      </c>
      <c r="D51" s="14"/>
      <c r="E51" s="25" t="s">
        <v>70</v>
      </c>
      <c r="F51" s="14">
        <v>2</v>
      </c>
      <c r="I51" s="25"/>
      <c r="J51" s="21"/>
    </row>
    <row r="52" spans="1:10" ht="15.75">
      <c r="A52" s="14"/>
      <c r="B52" s="25" t="s">
        <v>80</v>
      </c>
      <c r="C52" s="21">
        <v>1</v>
      </c>
      <c r="D52" s="14"/>
      <c r="E52" s="25" t="s">
        <v>71</v>
      </c>
      <c r="F52" s="14">
        <v>2</v>
      </c>
      <c r="I52" s="25"/>
      <c r="J52" s="21"/>
    </row>
    <row r="53" spans="1:10" ht="15.75">
      <c r="A53" s="14"/>
      <c r="B53" s="25" t="s">
        <v>59</v>
      </c>
      <c r="C53" s="21">
        <v>2</v>
      </c>
      <c r="D53" s="14"/>
      <c r="E53" s="25" t="s">
        <v>72</v>
      </c>
      <c r="F53">
        <v>2</v>
      </c>
      <c r="I53" s="25"/>
      <c r="J53" s="21"/>
    </row>
    <row r="54" spans="1:10" ht="15.75">
      <c r="A54" s="14"/>
      <c r="B54" s="25" t="s">
        <v>81</v>
      </c>
      <c r="C54" s="21">
        <v>2</v>
      </c>
      <c r="D54" s="14"/>
      <c r="E54" s="25" t="s">
        <v>73</v>
      </c>
      <c r="F54" s="14">
        <v>2</v>
      </c>
      <c r="I54" s="25"/>
      <c r="J54" s="21"/>
    </row>
    <row r="55" spans="1:10" ht="15.75">
      <c r="A55" s="14"/>
      <c r="B55" s="11" t="s">
        <v>82</v>
      </c>
      <c r="C55" s="23">
        <f>SUM(F29:F62)</f>
        <v>197</v>
      </c>
      <c r="D55" s="14"/>
      <c r="E55" s="25" t="s">
        <v>74</v>
      </c>
      <c r="F55" s="14">
        <v>2</v>
      </c>
      <c r="I55" s="25"/>
      <c r="J55" s="21"/>
    </row>
    <row r="56" spans="1:10" ht="15.75">
      <c r="A56" s="14"/>
      <c r="B56" s="11" t="s">
        <v>83</v>
      </c>
      <c r="C56" s="26">
        <f>C21*F35+C22*F29+C23*F30+C24*F36+C25*F37+C26*F31+C27*F38+C28*F39+C29*F40+C30*F41+C31*F42+C32*F43+C33*F44+C34*F45+C35*F46+C36*F47+C37*F48+C38*F49+C39*F34+C40*F33+C41*F50+C42*F51+C43*F52+C44*F53+C45*F54+C46*F55+C47*F56+C48*F57+C49*F58+C50*F59+C51*F60+C52*F61+C53*F32+C54*F62</f>
        <v>2659</v>
      </c>
      <c r="D56" s="14"/>
      <c r="E56" s="25" t="s">
        <v>75</v>
      </c>
      <c r="F56" s="14">
        <v>2</v>
      </c>
      <c r="I56" s="25"/>
      <c r="J56" s="21"/>
    </row>
    <row r="57" spans="1:10" ht="15.75">
      <c r="A57" s="14"/>
      <c r="B57" s="14"/>
      <c r="C57" s="14"/>
      <c r="D57" s="14"/>
      <c r="E57" s="25" t="s">
        <v>76</v>
      </c>
      <c r="F57" s="14">
        <v>2</v>
      </c>
      <c r="I57" s="25"/>
      <c r="J57" s="21"/>
    </row>
    <row r="58" spans="1:10" ht="15.75">
      <c r="A58" s="14"/>
      <c r="B58" s="19" t="s">
        <v>84</v>
      </c>
      <c r="C58" s="19" t="s">
        <v>30</v>
      </c>
      <c r="D58" s="14"/>
      <c r="E58" s="25" t="s">
        <v>77</v>
      </c>
      <c r="F58" s="14">
        <v>2</v>
      </c>
      <c r="I58" s="11"/>
      <c r="J58" s="23"/>
    </row>
    <row r="59" spans="1:10" ht="15.75">
      <c r="A59" s="14"/>
      <c r="B59" s="25" t="s">
        <v>36</v>
      </c>
      <c r="C59" s="21">
        <v>1</v>
      </c>
      <c r="D59" s="14"/>
      <c r="E59" s="25" t="s">
        <v>78</v>
      </c>
      <c r="F59" s="14">
        <v>2</v>
      </c>
      <c r="I59" s="11"/>
      <c r="J59" s="26"/>
    </row>
    <row r="60" spans="1:10" ht="15.75">
      <c r="A60" s="14"/>
      <c r="B60" s="25" t="s">
        <v>37</v>
      </c>
      <c r="C60" s="21">
        <v>24</v>
      </c>
      <c r="D60" s="14"/>
      <c r="E60" s="25" t="s">
        <v>79</v>
      </c>
      <c r="F60">
        <v>2</v>
      </c>
    </row>
    <row r="61" spans="1:10" ht="15.75">
      <c r="A61" s="14"/>
      <c r="B61" s="25" t="s">
        <v>49</v>
      </c>
      <c r="C61" s="21">
        <v>27</v>
      </c>
      <c r="D61" s="14"/>
      <c r="E61" s="25" t="s">
        <v>80</v>
      </c>
      <c r="F61">
        <v>2</v>
      </c>
    </row>
    <row r="62" spans="1:10" ht="15.75">
      <c r="A62" s="14"/>
      <c r="B62" s="25" t="s">
        <v>39</v>
      </c>
      <c r="C62" s="21">
        <v>1</v>
      </c>
      <c r="D62" s="14"/>
      <c r="E62" s="25" t="s">
        <v>81</v>
      </c>
      <c r="F62" s="14">
        <v>2</v>
      </c>
    </row>
    <row r="63" spans="1:10" ht="15.75">
      <c r="A63" s="14"/>
      <c r="B63" s="25" t="s">
        <v>50</v>
      </c>
      <c r="C63" s="24">
        <v>17</v>
      </c>
      <c r="D63" s="14"/>
    </row>
    <row r="64" spans="1:10" ht="15.75">
      <c r="A64" s="14"/>
      <c r="B64" s="25" t="s">
        <v>78</v>
      </c>
      <c r="C64" s="21">
        <v>1</v>
      </c>
      <c r="D64" s="14"/>
      <c r="E64" s="19" t="s">
        <v>85</v>
      </c>
      <c r="F64" s="19" t="s">
        <v>48</v>
      </c>
      <c r="H64" s="25"/>
    </row>
    <row r="65" spans="1:8" ht="15.75">
      <c r="A65" s="14"/>
      <c r="B65" s="25" t="s">
        <v>56</v>
      </c>
      <c r="C65" s="21">
        <v>1</v>
      </c>
      <c r="D65" s="14"/>
      <c r="E65" s="25" t="s">
        <v>37</v>
      </c>
      <c r="F65" s="29">
        <v>56</v>
      </c>
      <c r="H65" s="25"/>
    </row>
    <row r="66" spans="1:8" ht="18">
      <c r="A66" s="14"/>
      <c r="B66" s="25" t="s">
        <v>57</v>
      </c>
      <c r="C66" s="27">
        <v>2</v>
      </c>
      <c r="D66" s="14"/>
      <c r="E66" s="25" t="s">
        <v>49</v>
      </c>
      <c r="F66" s="30">
        <v>56</v>
      </c>
      <c r="H66" s="25"/>
    </row>
    <row r="67" spans="1:8" ht="15.75">
      <c r="A67" s="14"/>
      <c r="B67" s="25" t="s">
        <v>58</v>
      </c>
      <c r="C67" s="21">
        <v>1</v>
      </c>
      <c r="D67" s="14"/>
      <c r="E67" s="25" t="s">
        <v>86</v>
      </c>
      <c r="F67" s="31">
        <v>86</v>
      </c>
    </row>
    <row r="68" spans="1:8" ht="15.75">
      <c r="A68" s="14"/>
      <c r="B68" s="25" t="s">
        <v>60</v>
      </c>
      <c r="C68" s="21">
        <v>2</v>
      </c>
      <c r="D68" s="14"/>
      <c r="E68" s="25" t="s">
        <v>69</v>
      </c>
      <c r="F68" s="31">
        <v>7</v>
      </c>
    </row>
    <row r="69" spans="1:8" ht="15.75">
      <c r="A69" s="14"/>
      <c r="B69" s="25" t="s">
        <v>62</v>
      </c>
      <c r="C69" s="21">
        <v>5</v>
      </c>
      <c r="D69" s="14"/>
      <c r="E69" s="25" t="s">
        <v>36</v>
      </c>
      <c r="F69">
        <v>2</v>
      </c>
    </row>
    <row r="70" spans="1:8" ht="15.75">
      <c r="A70" s="14"/>
      <c r="B70" s="25" t="s">
        <v>64</v>
      </c>
      <c r="C70" s="21">
        <v>4</v>
      </c>
      <c r="D70" s="14"/>
      <c r="E70" s="25" t="s">
        <v>39</v>
      </c>
      <c r="F70" s="13">
        <v>2</v>
      </c>
    </row>
    <row r="71" spans="1:8" ht="15.75">
      <c r="A71" s="14"/>
      <c r="B71" s="25" t="s">
        <v>86</v>
      </c>
      <c r="C71" s="21">
        <v>7</v>
      </c>
      <c r="D71" s="14"/>
      <c r="E71" s="25" t="s">
        <v>50</v>
      </c>
      <c r="F71" s="14">
        <v>2</v>
      </c>
    </row>
    <row r="72" spans="1:8" ht="15.75">
      <c r="A72" s="14"/>
      <c r="B72" s="25" t="s">
        <v>69</v>
      </c>
      <c r="C72" s="21">
        <v>2</v>
      </c>
      <c r="D72" s="14"/>
      <c r="E72" s="25" t="s">
        <v>78</v>
      </c>
      <c r="F72" s="14">
        <v>2</v>
      </c>
    </row>
    <row r="73" spans="1:8" ht="15.75">
      <c r="A73" s="14"/>
      <c r="B73" s="25" t="s">
        <v>70</v>
      </c>
      <c r="C73" s="21">
        <v>14</v>
      </c>
      <c r="D73" s="14"/>
      <c r="E73" s="25" t="s">
        <v>56</v>
      </c>
      <c r="F73" s="14">
        <v>2</v>
      </c>
    </row>
    <row r="74" spans="1:8" ht="15.75">
      <c r="A74" s="14"/>
      <c r="B74" s="25" t="s">
        <v>71</v>
      </c>
      <c r="C74" s="21">
        <v>9</v>
      </c>
      <c r="D74" s="14"/>
      <c r="E74" s="25" t="s">
        <v>57</v>
      </c>
      <c r="F74" s="14">
        <v>2</v>
      </c>
    </row>
    <row r="75" spans="1:8" ht="15.75">
      <c r="A75" s="14"/>
      <c r="B75" s="25" t="s">
        <v>72</v>
      </c>
      <c r="C75" s="21">
        <v>7</v>
      </c>
      <c r="D75" s="14"/>
      <c r="E75" s="25" t="s">
        <v>58</v>
      </c>
      <c r="F75" s="14">
        <v>2</v>
      </c>
    </row>
    <row r="76" spans="1:8" ht="15.75">
      <c r="A76" s="14"/>
      <c r="B76" s="25" t="s">
        <v>87</v>
      </c>
      <c r="C76" s="21">
        <v>1</v>
      </c>
      <c r="D76" s="14"/>
      <c r="E76" s="25" t="s">
        <v>60</v>
      </c>
      <c r="F76" s="14">
        <v>2</v>
      </c>
    </row>
    <row r="77" spans="1:8" ht="15.75">
      <c r="A77" s="14"/>
      <c r="B77" s="25" t="s">
        <v>73</v>
      </c>
      <c r="C77" s="21">
        <v>1</v>
      </c>
      <c r="D77" s="14"/>
      <c r="E77" s="25" t="s">
        <v>62</v>
      </c>
      <c r="F77" s="14">
        <v>2</v>
      </c>
    </row>
    <row r="78" spans="1:8" ht="15.75">
      <c r="A78" s="14"/>
      <c r="B78" s="25" t="s">
        <v>75</v>
      </c>
      <c r="C78" s="21">
        <v>6</v>
      </c>
      <c r="D78" s="14"/>
      <c r="E78" s="25" t="s">
        <v>64</v>
      </c>
      <c r="F78" s="14">
        <v>2</v>
      </c>
    </row>
    <row r="79" spans="1:8" ht="15.75">
      <c r="A79" s="14"/>
      <c r="B79" s="25" t="s">
        <v>81</v>
      </c>
      <c r="C79" s="21">
        <v>2</v>
      </c>
      <c r="D79" s="14"/>
      <c r="E79" s="25" t="s">
        <v>70</v>
      </c>
      <c r="F79" s="14">
        <v>2</v>
      </c>
    </row>
    <row r="80" spans="1:8" ht="15.75">
      <c r="A80" s="14"/>
      <c r="B80" s="11" t="s">
        <v>88</v>
      </c>
      <c r="C80" s="23">
        <f>SUM(F65:F85)</f>
        <v>239</v>
      </c>
      <c r="D80" s="14"/>
      <c r="E80" s="25" t="s">
        <v>71</v>
      </c>
      <c r="F80" s="14">
        <v>2</v>
      </c>
    </row>
    <row r="81" spans="1:6" ht="15.75">
      <c r="A81" s="14"/>
      <c r="B81" s="11" t="s">
        <v>89</v>
      </c>
      <c r="C81" s="23">
        <f>C59*F69+C60*F65+C61*F66+C62*F70+C63*F71+C64*F72+C65*F73+C66*F74+C67*F75+C68*F76+C69*F77+C70*F78+C71*F67+C72*F68+C73*F79+C74*F80+C75*F81+C76*F82+C77*F83+C78*F84+C79*F85</f>
        <v>3622</v>
      </c>
      <c r="D81" s="14"/>
      <c r="E81" s="25" t="s">
        <v>72</v>
      </c>
      <c r="F81" s="14">
        <v>2</v>
      </c>
    </row>
    <row r="82" spans="1:6" ht="15.75">
      <c r="A82" s="14"/>
      <c r="B82" s="14"/>
      <c r="C82" s="14"/>
      <c r="D82" s="14"/>
      <c r="E82" s="25" t="s">
        <v>87</v>
      </c>
      <c r="F82" s="14">
        <v>2</v>
      </c>
    </row>
    <row r="83" spans="1:6" ht="15.75">
      <c r="A83" s="14"/>
      <c r="B83" s="19" t="s">
        <v>90</v>
      </c>
      <c r="C83" s="19" t="s">
        <v>30</v>
      </c>
      <c r="D83" s="14"/>
      <c r="E83" s="25" t="s">
        <v>73</v>
      </c>
      <c r="F83" s="14">
        <v>2</v>
      </c>
    </row>
    <row r="84" spans="1:6" ht="15.75">
      <c r="A84" s="14"/>
      <c r="B84" s="13" t="s">
        <v>91</v>
      </c>
      <c r="C84" s="21">
        <v>4</v>
      </c>
      <c r="D84" s="14"/>
      <c r="E84" s="25" t="s">
        <v>75</v>
      </c>
      <c r="F84">
        <v>2</v>
      </c>
    </row>
    <row r="85" spans="1:6" ht="15.75">
      <c r="A85" s="14"/>
      <c r="B85" s="13" t="s">
        <v>92</v>
      </c>
      <c r="C85" s="21">
        <v>7</v>
      </c>
      <c r="D85" s="14"/>
      <c r="E85" s="25" t="s">
        <v>81</v>
      </c>
      <c r="F85">
        <v>2</v>
      </c>
    </row>
    <row r="86" spans="1:6" ht="15.75">
      <c r="A86" s="14"/>
      <c r="B86" s="13" t="s">
        <v>93</v>
      </c>
      <c r="C86" s="21">
        <v>4</v>
      </c>
      <c r="D86" s="14"/>
    </row>
    <row r="87" spans="1:6" ht="15.75">
      <c r="A87" s="14"/>
      <c r="B87" s="11" t="s">
        <v>94</v>
      </c>
      <c r="C87" s="23">
        <f>SUM(F88:F90)</f>
        <v>3</v>
      </c>
      <c r="D87" s="14"/>
      <c r="E87" s="19" t="s">
        <v>95</v>
      </c>
      <c r="F87" s="19" t="s">
        <v>48</v>
      </c>
    </row>
    <row r="88" spans="1:6" ht="15.75">
      <c r="A88" s="14"/>
      <c r="B88" s="11" t="s">
        <v>96</v>
      </c>
      <c r="C88" s="23">
        <f>C84*F88+C85*F89+C86*F90</f>
        <v>15</v>
      </c>
      <c r="D88" s="14"/>
      <c r="E88" s="13" t="s">
        <v>91</v>
      </c>
      <c r="F88">
        <v>1</v>
      </c>
    </row>
    <row r="89" spans="1:6" ht="15.75">
      <c r="A89" s="14"/>
      <c r="B89" s="14"/>
      <c r="C89" s="14"/>
      <c r="D89" s="14"/>
      <c r="E89" s="13" t="s">
        <v>92</v>
      </c>
      <c r="F89">
        <v>1</v>
      </c>
    </row>
    <row r="90" spans="1:6" ht="15.75">
      <c r="A90" s="14"/>
      <c r="B90" s="14"/>
      <c r="C90" s="14"/>
      <c r="D90" s="14"/>
      <c r="E90" s="13" t="s">
        <v>93</v>
      </c>
      <c r="F90">
        <v>1</v>
      </c>
    </row>
    <row r="91" spans="1:6">
      <c r="A91" s="14"/>
      <c r="B91" s="14"/>
      <c r="C91" s="14"/>
      <c r="D91" s="14"/>
      <c r="E91" s="14"/>
      <c r="F91" s="14"/>
    </row>
    <row r="92" spans="1:6" ht="15.75">
      <c r="A92" s="14"/>
      <c r="B92" s="14"/>
      <c r="C92" s="14"/>
      <c r="D92" s="14"/>
      <c r="E92" s="11" t="s">
        <v>97</v>
      </c>
      <c r="F92" s="14"/>
    </row>
    <row r="93" spans="1:6">
      <c r="A93" s="14"/>
      <c r="B93" s="14"/>
      <c r="C93" s="14"/>
      <c r="D93" s="14"/>
      <c r="F93" s="14"/>
    </row>
    <row r="94" spans="1:6">
      <c r="A94" s="14"/>
      <c r="B94" s="14"/>
      <c r="C94" s="14"/>
      <c r="D94" s="14"/>
      <c r="E94" s="14"/>
      <c r="F94" s="14"/>
    </row>
    <row r="95" spans="1:6">
      <c r="A95" s="14"/>
      <c r="B95" s="14"/>
      <c r="C95" s="14"/>
      <c r="D95" s="14"/>
      <c r="E95" s="14"/>
      <c r="F95" s="14"/>
    </row>
    <row r="96" spans="1:6">
      <c r="A96" s="14"/>
      <c r="B96" s="14"/>
      <c r="C96" s="14"/>
      <c r="D96" s="14"/>
      <c r="E96" s="14"/>
      <c r="F96" s="14"/>
    </row>
    <row r="97" spans="1:6">
      <c r="A97" s="14"/>
      <c r="B97" s="14"/>
      <c r="C97" s="14"/>
      <c r="D97" s="14"/>
      <c r="E97" s="14"/>
      <c r="F97" s="14"/>
    </row>
    <row r="98" spans="1:6">
      <c r="A98" s="14"/>
      <c r="B98" s="14"/>
      <c r="C98" s="14"/>
      <c r="D98" s="14"/>
      <c r="E98" s="14"/>
      <c r="F98" s="14"/>
    </row>
    <row r="99" spans="1:6">
      <c r="A99" s="14"/>
      <c r="B99" s="14"/>
      <c r="C99" s="14"/>
      <c r="D99" s="14"/>
      <c r="E99" s="14"/>
      <c r="F99" s="14"/>
    </row>
    <row r="100" spans="1:6">
      <c r="A100" s="14"/>
      <c r="B100" s="14"/>
      <c r="C100" s="14"/>
      <c r="D100" s="14"/>
    </row>
    <row r="101" spans="1:6">
      <c r="A101" s="14"/>
      <c r="B101" s="14"/>
      <c r="C101" s="14"/>
      <c r="D101" s="14"/>
    </row>
    <row r="102" spans="1:6">
      <c r="A102" s="14"/>
      <c r="B102" s="14"/>
      <c r="C102" s="14"/>
      <c r="D102" s="14"/>
    </row>
    <row r="103" spans="1:6">
      <c r="A103" s="14"/>
      <c r="B103" s="14"/>
      <c r="C103" s="14"/>
      <c r="D103" s="14"/>
    </row>
    <row r="104" spans="1:6">
      <c r="A104" s="14"/>
      <c r="B104" s="14"/>
      <c r="C104" s="14"/>
      <c r="D104" s="14"/>
    </row>
    <row r="105" spans="1:6">
      <c r="A105" s="14"/>
      <c r="B105" s="14"/>
      <c r="C105" s="14"/>
      <c r="D105" s="14"/>
    </row>
    <row r="106" spans="1:6">
      <c r="A106" s="14"/>
      <c r="D106" s="14"/>
    </row>
    <row r="107" spans="1:6">
      <c r="A107" s="14"/>
      <c r="D107" s="14"/>
    </row>
  </sheetData>
  <sheetProtection sheet="1" objects="1" scenarios="1"/>
  <protectedRanges>
    <protectedRange sqref="F10:F12" name="Range1"/>
    <protectedRange sqref="F15" name="Range2"/>
    <protectedRange sqref="F18" name="Range3"/>
    <protectedRange sqref="F21" name="Range4"/>
    <protectedRange sqref="F29:F34" name="Range5"/>
    <protectedRange sqref="F65:F68" name="Range6"/>
    <protectedRange sqref="A1" name="Range7"/>
    <protectedRange sqref="B2" name="Range8"/>
    <protectedRange sqref="B3" name="Range9"/>
    <protectedRange sqref="B5:B8" name="Range10"/>
    <protectedRange sqref="E9:F9" name="Range11"/>
    <protectedRange sqref="E14:F14" name="Range12"/>
    <protectedRange sqref="E17:F17" name="Range13"/>
    <protectedRange sqref="E20:F20" name="Range14"/>
    <protectedRange sqref="E28:F28" name="Range15"/>
    <protectedRange sqref="E64:F64" name="Range16"/>
    <protectedRange sqref="E87:F87" name="Range17"/>
    <protectedRange sqref="B10:C10" name="Range18"/>
    <protectedRange sqref="B20:C20" name="Range19"/>
    <protectedRange sqref="B58:C58" name="Range20"/>
    <protectedRange sqref="B83:C83" name="Range21"/>
    <protectedRange sqref="B17:B18" name="Range22"/>
    <protectedRange sqref="B55:B56" name="Range23"/>
    <protectedRange sqref="B80:B81" name="Range24"/>
    <protectedRange sqref="B87:B88" name="Range25"/>
    <protectedRange sqref="F29:F34" name="Range26"/>
    <protectedRange sqref="F10:F12" name="Range27"/>
    <protectedRange sqref="F15" name="Range28"/>
    <protectedRange sqref="F18" name="Range29"/>
    <protectedRange sqref="F21" name="Range30"/>
    <protectedRange sqref="F65:F68" name="Range31"/>
    <protectedRange sqref="E92" name="Range32"/>
    <protectedRange sqref="E92" name="Range33"/>
  </protectedRange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2026-03-28T03:04:40Z</dcterms:created>
  <dcterms:modified xsi:type="dcterms:W3CDTF">2026-04-13T09:54:26Z</dcterms:modified>
  <cp:category/>
  <cp:contentStatus/>
</cp:coreProperties>
</file>